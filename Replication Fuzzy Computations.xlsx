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Sustainable QOL\Experimental Economics\"/>
    </mc:Choice>
  </mc:AlternateContent>
  <xr:revisionPtr revIDLastSave="0" documentId="13_ncr:1_{D31397CE-31CD-45F9-9CEE-DDFDCF5FDB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iteria Weights" sheetId="1" r:id="rId1"/>
    <sheet name="Time Series Weights" sheetId="2" r:id="rId2"/>
    <sheet name="Hybrid weights" sheetId="3" r:id="rId3"/>
    <sheet name="Computation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60" i="4" l="1"/>
  <c r="BK60" i="4" s="1"/>
  <c r="BJ59" i="4"/>
  <c r="BK59" i="4" s="1"/>
  <c r="BJ58" i="4"/>
  <c r="BK58" i="4" s="1"/>
  <c r="BK57" i="4"/>
  <c r="BJ57" i="4"/>
  <c r="BJ56" i="4"/>
  <c r="BK56" i="4" s="1"/>
  <c r="BK55" i="4"/>
  <c r="BK61" i="4" s="1"/>
  <c r="BL54" i="4" s="1"/>
  <c r="BJ55" i="4"/>
  <c r="BK54" i="4"/>
  <c r="BJ54" i="4"/>
  <c r="BJ51" i="4"/>
  <c r="BK51" i="4" s="1"/>
  <c r="BK50" i="4"/>
  <c r="BJ50" i="4"/>
  <c r="BJ49" i="4"/>
  <c r="BK49" i="4" s="1"/>
  <c r="BK48" i="4"/>
  <c r="BJ48" i="4"/>
  <c r="BK47" i="4"/>
  <c r="BJ47" i="4"/>
  <c r="BK46" i="4"/>
  <c r="BJ46" i="4"/>
  <c r="BJ45" i="4"/>
  <c r="BK45" i="4" s="1"/>
  <c r="BJ42" i="4"/>
  <c r="BK42" i="4" s="1"/>
  <c r="BK41" i="4"/>
  <c r="BJ41" i="4"/>
  <c r="BK40" i="4"/>
  <c r="BJ40" i="4"/>
  <c r="BK39" i="4"/>
  <c r="BJ39" i="4"/>
  <c r="BJ38" i="4"/>
  <c r="BK38" i="4" s="1"/>
  <c r="BJ37" i="4"/>
  <c r="BK37" i="4" s="1"/>
  <c r="BJ36" i="4"/>
  <c r="BK36" i="4" s="1"/>
  <c r="BK33" i="4"/>
  <c r="BJ33" i="4"/>
  <c r="BK32" i="4"/>
  <c r="BJ32" i="4"/>
  <c r="BJ31" i="4"/>
  <c r="BK31" i="4" s="1"/>
  <c r="BJ30" i="4"/>
  <c r="BK30" i="4" s="1"/>
  <c r="BJ29" i="4"/>
  <c r="BK29" i="4" s="1"/>
  <c r="BJ28" i="4"/>
  <c r="BK28" i="4" s="1"/>
  <c r="BJ27" i="4"/>
  <c r="BK27" i="4" s="1"/>
  <c r="AH27" i="4"/>
  <c r="Z27" i="4"/>
  <c r="X27" i="4"/>
  <c r="AT26" i="4"/>
  <c r="AS26" i="4"/>
  <c r="AK26" i="4"/>
  <c r="AD26" i="4"/>
  <c r="AA26" i="4"/>
  <c r="AT25" i="4"/>
  <c r="AL25" i="4"/>
  <c r="AD25" i="4"/>
  <c r="AS24" i="4"/>
  <c r="AR24" i="4"/>
  <c r="AK24" i="4"/>
  <c r="AH24" i="4"/>
  <c r="AB24" i="4"/>
  <c r="Z24" i="4"/>
  <c r="BJ23" i="4"/>
  <c r="BK23" i="4" s="1"/>
  <c r="AH23" i="4"/>
  <c r="Z23" i="4"/>
  <c r="BJ22" i="4"/>
  <c r="BK22" i="4" s="1"/>
  <c r="AT22" i="4"/>
  <c r="AN22" i="4"/>
  <c r="AL22" i="4"/>
  <c r="AG22" i="4"/>
  <c r="AD22" i="4"/>
  <c r="BJ21" i="4"/>
  <c r="BK21" i="4" s="1"/>
  <c r="BJ20" i="4"/>
  <c r="BK20" i="4" s="1"/>
  <c r="BJ19" i="4"/>
  <c r="BK19" i="4" s="1"/>
  <c r="BJ18" i="4"/>
  <c r="BK18" i="4" s="1"/>
  <c r="BJ17" i="4"/>
  <c r="BK17" i="4" s="1"/>
  <c r="AS16" i="4"/>
  <c r="AS27" i="4" s="1"/>
  <c r="AP16" i="4"/>
  <c r="AP27" i="4" s="1"/>
  <c r="AM16" i="4"/>
  <c r="AJ16" i="4"/>
  <c r="AK27" i="4" s="1"/>
  <c r="AG16" i="4"/>
  <c r="AD16" i="4"/>
  <c r="AD27" i="4" s="1"/>
  <c r="AA16" i="4"/>
  <c r="AA27" i="4" s="1"/>
  <c r="X16" i="4"/>
  <c r="AS15" i="4"/>
  <c r="AP15" i="4"/>
  <c r="AM15" i="4"/>
  <c r="AJ15" i="4"/>
  <c r="AG15" i="4"/>
  <c r="AH26" i="4" s="1"/>
  <c r="AD15" i="4"/>
  <c r="AA15" i="4"/>
  <c r="X15" i="4"/>
  <c r="AS14" i="4"/>
  <c r="AS25" i="4" s="1"/>
  <c r="AP14" i="4"/>
  <c r="AM14" i="4"/>
  <c r="AJ14" i="4"/>
  <c r="AK25" i="4" s="1"/>
  <c r="AG14" i="4"/>
  <c r="AH25" i="4" s="1"/>
  <c r="AD14" i="4"/>
  <c r="AA14" i="4"/>
  <c r="AA25" i="4" s="1"/>
  <c r="X14" i="4"/>
  <c r="AS13" i="4"/>
  <c r="AP13" i="4"/>
  <c r="AP24" i="4" s="1"/>
  <c r="AM13" i="4"/>
  <c r="AJ13" i="4"/>
  <c r="AG13" i="4"/>
  <c r="AD13" i="4"/>
  <c r="AD24" i="4" s="1"/>
  <c r="AA13" i="4"/>
  <c r="AA24" i="4" s="1"/>
  <c r="X13" i="4"/>
  <c r="AS12" i="4"/>
  <c r="AS23" i="4" s="1"/>
  <c r="AP12" i="4"/>
  <c r="AP23" i="4" s="1"/>
  <c r="AM12" i="4"/>
  <c r="AJ12" i="4"/>
  <c r="AK23" i="4" s="1"/>
  <c r="AG12" i="4"/>
  <c r="AD12" i="4"/>
  <c r="AD23" i="4" s="1"/>
  <c r="AA12" i="4"/>
  <c r="AA23" i="4" s="1"/>
  <c r="X12" i="4"/>
  <c r="AS11" i="4"/>
  <c r="AS22" i="4" s="1"/>
  <c r="AP11" i="4"/>
  <c r="AM11" i="4"/>
  <c r="AJ11" i="4"/>
  <c r="AK22" i="4" s="1"/>
  <c r="AG11" i="4"/>
  <c r="AH22" i="4" s="1"/>
  <c r="AD11" i="4"/>
  <c r="AA11" i="4"/>
  <c r="AA22" i="4" s="1"/>
  <c r="X11" i="4"/>
  <c r="BJ9" i="4"/>
  <c r="BK9" i="4" s="1"/>
  <c r="T9" i="4"/>
  <c r="O9" i="4"/>
  <c r="N9" i="4"/>
  <c r="BJ8" i="4"/>
  <c r="BK8" i="4" s="1"/>
  <c r="AT8" i="4"/>
  <c r="AT27" i="4" s="1"/>
  <c r="AR8" i="4"/>
  <c r="AR27" i="4" s="1"/>
  <c r="AQ8" i="4"/>
  <c r="AQ27" i="4" s="1"/>
  <c r="AP8" i="4"/>
  <c r="AO8" i="4"/>
  <c r="AO27" i="4" s="1"/>
  <c r="AM8" i="4"/>
  <c r="AM27" i="4" s="1"/>
  <c r="AL8" i="4"/>
  <c r="AL27" i="4" s="1"/>
  <c r="AJ8" i="4"/>
  <c r="AJ27" i="4" s="1"/>
  <c r="AI8" i="4"/>
  <c r="AI27" i="4" s="1"/>
  <c r="AG8" i="4"/>
  <c r="AG27" i="4" s="1"/>
  <c r="AE8" i="4"/>
  <c r="AE27" i="4" s="1"/>
  <c r="AC8" i="4"/>
  <c r="AC27" i="4" s="1"/>
  <c r="AB8" i="4"/>
  <c r="AB27" i="4" s="1"/>
  <c r="Z8" i="4"/>
  <c r="X8" i="4"/>
  <c r="Y8" i="4" s="1"/>
  <c r="Y27" i="4" s="1"/>
  <c r="W8" i="4"/>
  <c r="W27" i="4" s="1"/>
  <c r="S8" i="4"/>
  <c r="R8" i="4"/>
  <c r="Q8" i="4"/>
  <c r="P8" i="4"/>
  <c r="M8" i="4"/>
  <c r="BJ7" i="4"/>
  <c r="BK7" i="4" s="1"/>
  <c r="AT7" i="4"/>
  <c r="AR7" i="4"/>
  <c r="AR26" i="4" s="1"/>
  <c r="AP7" i="4"/>
  <c r="AP26" i="4" s="1"/>
  <c r="AO7" i="4"/>
  <c r="AO26" i="4" s="1"/>
  <c r="AN7" i="4"/>
  <c r="AN26" i="4" s="1"/>
  <c r="AM7" i="4"/>
  <c r="AM26" i="4" s="1"/>
  <c r="AL7" i="4"/>
  <c r="AL26" i="4" s="1"/>
  <c r="AE7" i="4"/>
  <c r="AE26" i="4" s="1"/>
  <c r="AC7" i="4"/>
  <c r="AC26" i="4" s="1"/>
  <c r="AB7" i="4"/>
  <c r="AB26" i="4" s="1"/>
  <c r="Z7" i="4"/>
  <c r="Z26" i="4" s="1"/>
  <c r="S7" i="4"/>
  <c r="R7" i="4"/>
  <c r="Q7" i="4"/>
  <c r="AJ7" i="4" s="1"/>
  <c r="P7" i="4"/>
  <c r="AG7" i="4" s="1"/>
  <c r="M7" i="4"/>
  <c r="M9" i="4" s="1"/>
  <c r="X9" i="4" s="1"/>
  <c r="BJ6" i="4"/>
  <c r="BK6" i="4" s="1"/>
  <c r="AT6" i="4"/>
  <c r="AR6" i="4"/>
  <c r="AR25" i="4" s="1"/>
  <c r="AQ6" i="4"/>
  <c r="AQ25" i="4" s="1"/>
  <c r="AP6" i="4"/>
  <c r="AO6" i="4" s="1"/>
  <c r="AO25" i="4" s="1"/>
  <c r="AM6" i="4"/>
  <c r="AM25" i="4" s="1"/>
  <c r="AL6" i="4"/>
  <c r="AJ6" i="4"/>
  <c r="AI6" i="4" s="1"/>
  <c r="AI25" i="4" s="1"/>
  <c r="AG6" i="4"/>
  <c r="AF6" i="4" s="1"/>
  <c r="AF25" i="4" s="1"/>
  <c r="AE6" i="4"/>
  <c r="AE25" i="4" s="1"/>
  <c r="AC6" i="4"/>
  <c r="AC25" i="4" s="1"/>
  <c r="AB6" i="4"/>
  <c r="AB25" i="4" s="1"/>
  <c r="Z6" i="4"/>
  <c r="Z25" i="4" s="1"/>
  <c r="S6" i="4"/>
  <c r="R6" i="4"/>
  <c r="Q6" i="4"/>
  <c r="P6" i="4"/>
  <c r="M6" i="4"/>
  <c r="X6" i="4" s="1"/>
  <c r="BM5" i="4"/>
  <c r="BK5" i="4"/>
  <c r="BJ5" i="4"/>
  <c r="AT5" i="4"/>
  <c r="AT24" i="4" s="1"/>
  <c r="AR5" i="4"/>
  <c r="AP5" i="4"/>
  <c r="AO5" i="4" s="1"/>
  <c r="AO24" i="4" s="1"/>
  <c r="AN5" i="4"/>
  <c r="AN24" i="4" s="1"/>
  <c r="AM5" i="4"/>
  <c r="AL5" i="4" s="1"/>
  <c r="AL24" i="4" s="1"/>
  <c r="AG5" i="4"/>
  <c r="AG24" i="4" s="1"/>
  <c r="AF5" i="4"/>
  <c r="AF24" i="4" s="1"/>
  <c r="AE5" i="4"/>
  <c r="AE24" i="4" s="1"/>
  <c r="AC5" i="4"/>
  <c r="AC24" i="4" s="1"/>
  <c r="AB5" i="4"/>
  <c r="Z5" i="4"/>
  <c r="X5" i="4"/>
  <c r="X24" i="4" s="1"/>
  <c r="W5" i="4"/>
  <c r="W24" i="4" s="1"/>
  <c r="S5" i="4"/>
  <c r="R5" i="4"/>
  <c r="Q5" i="4"/>
  <c r="AJ5" i="4" s="1"/>
  <c r="P5" i="4"/>
  <c r="M5" i="4"/>
  <c r="BK4" i="4"/>
  <c r="BJ4" i="4"/>
  <c r="AT4" i="4"/>
  <c r="AT23" i="4" s="1"/>
  <c r="AR4" i="4"/>
  <c r="AR23" i="4" s="1"/>
  <c r="AQ4" i="4"/>
  <c r="AP4" i="4"/>
  <c r="AO4" i="4"/>
  <c r="AO23" i="4" s="1"/>
  <c r="AM4" i="4"/>
  <c r="AL4" i="4" s="1"/>
  <c r="AL23" i="4" s="1"/>
  <c r="AJ4" i="4"/>
  <c r="AI4" i="4" s="1"/>
  <c r="AI23" i="4" s="1"/>
  <c r="AE4" i="4"/>
  <c r="AE23" i="4" s="1"/>
  <c r="AC4" i="4"/>
  <c r="AC23" i="4" s="1"/>
  <c r="AB4" i="4"/>
  <c r="AB23" i="4" s="1"/>
  <c r="Z4" i="4"/>
  <c r="S4" i="4"/>
  <c r="R4" i="4"/>
  <c r="Q4" i="4"/>
  <c r="P4" i="4"/>
  <c r="AG4" i="4" s="1"/>
  <c r="M4" i="4"/>
  <c r="X4" i="4" s="1"/>
  <c r="BJ3" i="4"/>
  <c r="BK3" i="4" s="1"/>
  <c r="AT3" i="4"/>
  <c r="AR3" i="4"/>
  <c r="AR22" i="4" s="1"/>
  <c r="AP3" i="4"/>
  <c r="AQ3" i="4" s="1"/>
  <c r="AQ22" i="4" s="1"/>
  <c r="AN3" i="4"/>
  <c r="AM3" i="4"/>
  <c r="AM22" i="4" s="1"/>
  <c r="AL3" i="4"/>
  <c r="AJ3" i="4"/>
  <c r="AJ22" i="4" s="1"/>
  <c r="AI3" i="4"/>
  <c r="AI22" i="4" s="1"/>
  <c r="AG3" i="4"/>
  <c r="AF3" i="4"/>
  <c r="AF22" i="4" s="1"/>
  <c r="AE3" i="4"/>
  <c r="AE22" i="4" s="1"/>
  <c r="AC3" i="4"/>
  <c r="AC22" i="4" s="1"/>
  <c r="AB3" i="4"/>
  <c r="AB22" i="4" s="1"/>
  <c r="Z3" i="4"/>
  <c r="Z22" i="4" s="1"/>
  <c r="X3" i="4"/>
  <c r="W3" i="4" s="1"/>
  <c r="W22" i="4" s="1"/>
  <c r="S3" i="4"/>
  <c r="S9" i="4" s="1"/>
  <c r="R3" i="4"/>
  <c r="R9" i="4" s="1"/>
  <c r="Q3" i="4"/>
  <c r="Q9" i="4" s="1"/>
  <c r="P3" i="4"/>
  <c r="P9" i="4" s="1"/>
  <c r="M3" i="4"/>
  <c r="BK24" i="4" l="1"/>
  <c r="BL17" i="4"/>
  <c r="BK43" i="4"/>
  <c r="BL37" i="4" s="1"/>
  <c r="BL18" i="4"/>
  <c r="BL29" i="4"/>
  <c r="BL56" i="4"/>
  <c r="BK34" i="4"/>
  <c r="BL33" i="4" s="1"/>
  <c r="BL27" i="4"/>
  <c r="BL28" i="4"/>
  <c r="BL41" i="4"/>
  <c r="BL19" i="4"/>
  <c r="BL22" i="4"/>
  <c r="BK52" i="4"/>
  <c r="BL47" i="4" s="1"/>
  <c r="AI5" i="4"/>
  <c r="AI24" i="4" s="1"/>
  <c r="AJ24" i="4"/>
  <c r="AW24" i="4" s="1"/>
  <c r="AJ26" i="4"/>
  <c r="AI7" i="4"/>
  <c r="AI26" i="4" s="1"/>
  <c r="BM9" i="4"/>
  <c r="BM3" i="4"/>
  <c r="BK10" i="4"/>
  <c r="BL5" i="4" s="1"/>
  <c r="AV24" i="4"/>
  <c r="X25" i="4"/>
  <c r="Y6" i="4"/>
  <c r="Y25" i="4" s="1"/>
  <c r="W6" i="4"/>
  <c r="W25" i="4" s="1"/>
  <c r="AV25" i="4" s="1"/>
  <c r="BM8" i="4"/>
  <c r="BL20" i="4"/>
  <c r="BL31" i="4"/>
  <c r="BL57" i="4"/>
  <c r="X23" i="4"/>
  <c r="W4" i="4"/>
  <c r="W23" i="4" s="1"/>
  <c r="AV23" i="4" s="1"/>
  <c r="Y4" i="4"/>
  <c r="Y23" i="4" s="1"/>
  <c r="AX23" i="4" s="1"/>
  <c r="BM6" i="4"/>
  <c r="BL21" i="4"/>
  <c r="AW27" i="4"/>
  <c r="BL39" i="4"/>
  <c r="BL46" i="4"/>
  <c r="BL51" i="4"/>
  <c r="BL58" i="4"/>
  <c r="AG23" i="4"/>
  <c r="AF4" i="4"/>
  <c r="AF23" i="4" s="1"/>
  <c r="BM7" i="4"/>
  <c r="BL23" i="4"/>
  <c r="BL32" i="4"/>
  <c r="BL59" i="4"/>
  <c r="AG26" i="4"/>
  <c r="AF7" i="4"/>
  <c r="AF26" i="4" s="1"/>
  <c r="BL60" i="4"/>
  <c r="AN4" i="4"/>
  <c r="AN23" i="4" s="1"/>
  <c r="BM4" i="4"/>
  <c r="AP22" i="4"/>
  <c r="AJ23" i="4"/>
  <c r="AP25" i="4"/>
  <c r="X22" i="4"/>
  <c r="Y3" i="4"/>
  <c r="Y22" i="4" s="1"/>
  <c r="AX22" i="4" s="1"/>
  <c r="AQ23" i="4"/>
  <c r="Y5" i="4"/>
  <c r="Y24" i="4" s="1"/>
  <c r="AX24" i="4" s="1"/>
  <c r="AN6" i="4"/>
  <c r="AN25" i="4" s="1"/>
  <c r="AQ7" i="4"/>
  <c r="AQ26" i="4" s="1"/>
  <c r="AM24" i="4"/>
  <c r="AQ5" i="4"/>
  <c r="AQ24" i="4" s="1"/>
  <c r="AG25" i="4"/>
  <c r="X7" i="4"/>
  <c r="AJ25" i="4"/>
  <c r="AO3" i="4"/>
  <c r="AO22" i="4" s="1"/>
  <c r="AV22" i="4" s="1"/>
  <c r="AN8" i="4"/>
  <c r="AN27" i="4" s="1"/>
  <c r="AX27" i="4" s="1"/>
  <c r="AM23" i="4"/>
  <c r="AF8" i="4"/>
  <c r="AF27" i="4" s="1"/>
  <c r="AV27" i="4" s="1"/>
  <c r="BL55" i="4"/>
  <c r="BN4" i="4" l="1"/>
  <c r="BL48" i="4"/>
  <c r="BM10" i="4"/>
  <c r="BN5" i="4" s="1"/>
  <c r="BN3" i="4"/>
  <c r="BL45" i="4"/>
  <c r="AW23" i="4"/>
  <c r="BL9" i="4"/>
  <c r="BL36" i="4"/>
  <c r="Y7" i="4"/>
  <c r="Y26" i="4" s="1"/>
  <c r="AX26" i="4" s="1"/>
  <c r="X26" i="4"/>
  <c r="AW26" i="4" s="1"/>
  <c r="W7" i="4"/>
  <c r="W26" i="4" s="1"/>
  <c r="AV26" i="4" s="1"/>
  <c r="BL40" i="4"/>
  <c r="BL4" i="4"/>
  <c r="BN9" i="4"/>
  <c r="BL30" i="4"/>
  <c r="BL49" i="4"/>
  <c r="AW22" i="4"/>
  <c r="AX25" i="4"/>
  <c r="BL42" i="4"/>
  <c r="BN6" i="4"/>
  <c r="BN8" i="4"/>
  <c r="BL3" i="4"/>
  <c r="BL7" i="4"/>
  <c r="BL8" i="4"/>
  <c r="BN7" i="4"/>
  <c r="BL38" i="4"/>
  <c r="BL6" i="4"/>
  <c r="BL50" i="4"/>
  <c r="AW25" i="4"/>
  <c r="I10" i="3" l="1"/>
  <c r="B14" i="3" s="1"/>
  <c r="B15" i="3" s="1"/>
  <c r="H10" i="3"/>
  <c r="B12" i="3" s="1"/>
  <c r="B13" i="3" s="1"/>
  <c r="G10" i="3"/>
  <c r="F16" i="3" s="1"/>
  <c r="F10" i="3"/>
  <c r="C12" i="3" s="1"/>
  <c r="C13" i="3" s="1"/>
  <c r="E10" i="3"/>
  <c r="G17" i="3" s="1"/>
  <c r="D10" i="3"/>
  <c r="H12" i="3" s="1"/>
  <c r="H13" i="3" s="1"/>
  <c r="C10" i="3"/>
  <c r="G12" i="3" s="1"/>
  <c r="G13" i="3" s="1"/>
  <c r="B10" i="3"/>
  <c r="F12" i="3" s="1"/>
  <c r="F13" i="3" s="1"/>
  <c r="I8" i="3"/>
  <c r="H8" i="3"/>
  <c r="G8" i="3"/>
  <c r="F8" i="3"/>
  <c r="E8" i="3"/>
  <c r="D8" i="3"/>
  <c r="C8" i="3"/>
  <c r="B8" i="3"/>
  <c r="I7" i="3"/>
  <c r="H7" i="3"/>
  <c r="G7" i="3"/>
  <c r="F7" i="3"/>
  <c r="F24" i="3" s="1"/>
  <c r="E7" i="3"/>
  <c r="D7" i="3"/>
  <c r="C7" i="3"/>
  <c r="B7" i="3"/>
  <c r="I6" i="3"/>
  <c r="H6" i="3"/>
  <c r="G6" i="3"/>
  <c r="F6" i="3"/>
  <c r="E6" i="3"/>
  <c r="D6" i="3"/>
  <c r="C6" i="3"/>
  <c r="B6" i="3"/>
  <c r="I5" i="3"/>
  <c r="H5" i="3"/>
  <c r="G5" i="3"/>
  <c r="F5" i="3"/>
  <c r="E5" i="3"/>
  <c r="D5" i="3"/>
  <c r="C5" i="3"/>
  <c r="B5" i="3"/>
  <c r="I4" i="3"/>
  <c r="H4" i="3"/>
  <c r="G4" i="3"/>
  <c r="F4" i="3"/>
  <c r="E4" i="3"/>
  <c r="D4" i="3"/>
  <c r="C4" i="3"/>
  <c r="B4" i="3"/>
  <c r="I3" i="3"/>
  <c r="H3" i="3"/>
  <c r="G3" i="3"/>
  <c r="F3" i="3"/>
  <c r="E3" i="3"/>
  <c r="D3" i="3"/>
  <c r="C3" i="3"/>
  <c r="B3" i="3"/>
  <c r="AU10" i="2"/>
  <c r="AT10" i="2"/>
  <c r="AS10" i="2"/>
  <c r="AR10" i="2"/>
  <c r="AQ10" i="2"/>
  <c r="AP10" i="2"/>
  <c r="AO10" i="2"/>
  <c r="AN10" i="2"/>
  <c r="T9" i="2"/>
  <c r="S9" i="2"/>
  <c r="R9" i="2"/>
  <c r="Q9" i="2"/>
  <c r="Z3" i="2" s="1"/>
  <c r="AI3" i="2" s="1"/>
  <c r="P9" i="2"/>
  <c r="Y4" i="2" s="1"/>
  <c r="AH4" i="2" s="1"/>
  <c r="O9" i="2"/>
  <c r="X5" i="2" s="1"/>
  <c r="AG5" i="2" s="1"/>
  <c r="N9" i="2"/>
  <c r="W6" i="2" s="1"/>
  <c r="AF6" i="2" s="1"/>
  <c r="M9" i="2"/>
  <c r="AC8" i="2"/>
  <c r="AL8" i="2" s="1"/>
  <c r="AB8" i="2"/>
  <c r="AK8" i="2" s="1"/>
  <c r="AA8" i="2"/>
  <c r="AJ8" i="2" s="1"/>
  <c r="Z8" i="2"/>
  <c r="AI8" i="2" s="1"/>
  <c r="Y8" i="2"/>
  <c r="AH8" i="2" s="1"/>
  <c r="X8" i="2"/>
  <c r="AG8" i="2" s="1"/>
  <c r="W8" i="2"/>
  <c r="AF8" i="2" s="1"/>
  <c r="V8" i="2"/>
  <c r="AE8" i="2" s="1"/>
  <c r="M8" i="2"/>
  <c r="AC7" i="2"/>
  <c r="AL7" i="2" s="1"/>
  <c r="AB7" i="2"/>
  <c r="AK7" i="2" s="1"/>
  <c r="AA7" i="2"/>
  <c r="AJ7" i="2" s="1"/>
  <c r="Z7" i="2"/>
  <c r="AI7" i="2" s="1"/>
  <c r="Y7" i="2"/>
  <c r="AH7" i="2" s="1"/>
  <c r="X7" i="2"/>
  <c r="AG7" i="2" s="1"/>
  <c r="W7" i="2"/>
  <c r="AF7" i="2" s="1"/>
  <c r="M7" i="2"/>
  <c r="V7" i="2" s="1"/>
  <c r="AE7" i="2" s="1"/>
  <c r="AC6" i="2"/>
  <c r="AL6" i="2" s="1"/>
  <c r="AB6" i="2"/>
  <c r="AK6" i="2" s="1"/>
  <c r="AA6" i="2"/>
  <c r="AJ6" i="2" s="1"/>
  <c r="Z6" i="2"/>
  <c r="AI6" i="2" s="1"/>
  <c r="Y6" i="2"/>
  <c r="AH6" i="2" s="1"/>
  <c r="X6" i="2"/>
  <c r="AG6" i="2" s="1"/>
  <c r="M6" i="2"/>
  <c r="V6" i="2" s="1"/>
  <c r="AE6" i="2" s="1"/>
  <c r="AC5" i="2"/>
  <c r="AL5" i="2" s="1"/>
  <c r="AB5" i="2"/>
  <c r="AK5" i="2" s="1"/>
  <c r="AA5" i="2"/>
  <c r="AJ5" i="2" s="1"/>
  <c r="Z5" i="2"/>
  <c r="AI5" i="2" s="1"/>
  <c r="Y5" i="2"/>
  <c r="AH5" i="2" s="1"/>
  <c r="M5" i="2"/>
  <c r="V5" i="2" s="1"/>
  <c r="AE5" i="2" s="1"/>
  <c r="AC4" i="2"/>
  <c r="AL4" i="2" s="1"/>
  <c r="AB4" i="2"/>
  <c r="AK4" i="2" s="1"/>
  <c r="AA4" i="2"/>
  <c r="AJ4" i="2" s="1"/>
  <c r="Z4" i="2"/>
  <c r="AI4" i="2" s="1"/>
  <c r="M4" i="2"/>
  <c r="V4" i="2" s="1"/>
  <c r="AE4" i="2" s="1"/>
  <c r="AJ3" i="2"/>
  <c r="AC3" i="2"/>
  <c r="AL3" i="2" s="1"/>
  <c r="AB3" i="2"/>
  <c r="AK3" i="2" s="1"/>
  <c r="AA3" i="2"/>
  <c r="M3" i="2"/>
  <c r="V3" i="2" s="1"/>
  <c r="AE3" i="2" s="1"/>
  <c r="AB12" i="1"/>
  <c r="AB13" i="1" s="1"/>
  <c r="AA12" i="1"/>
  <c r="AA13" i="1" s="1"/>
  <c r="Z12" i="1"/>
  <c r="Z13" i="1" s="1"/>
  <c r="Y12" i="1"/>
  <c r="Y13" i="1" s="1"/>
  <c r="X12" i="1"/>
  <c r="X13" i="1" s="1"/>
  <c r="W12" i="1"/>
  <c r="W13" i="1" s="1"/>
  <c r="V12" i="1"/>
  <c r="V13" i="1" s="1"/>
  <c r="U12" i="1"/>
  <c r="U13" i="1" s="1"/>
  <c r="R12" i="1"/>
  <c r="R13" i="1" s="1"/>
  <c r="Q12" i="1"/>
  <c r="Q13" i="1" s="1"/>
  <c r="P12" i="1"/>
  <c r="P13" i="1" s="1"/>
  <c r="O12" i="1"/>
  <c r="O13" i="1" s="1"/>
  <c r="N12" i="1"/>
  <c r="N13" i="1" s="1"/>
  <c r="M12" i="1"/>
  <c r="M13" i="1" s="1"/>
  <c r="L12" i="1"/>
  <c r="L13" i="1" s="1"/>
  <c r="K12" i="1"/>
  <c r="K13" i="1" s="1"/>
  <c r="H12" i="1"/>
  <c r="H13" i="1" s="1"/>
  <c r="G12" i="1"/>
  <c r="G13" i="1" s="1"/>
  <c r="F12" i="1"/>
  <c r="F13" i="1" s="1"/>
  <c r="E12" i="1"/>
  <c r="E13" i="1" s="1"/>
  <c r="D12" i="1"/>
  <c r="D13" i="1" s="1"/>
  <c r="C12" i="1"/>
  <c r="C13" i="1" s="1"/>
  <c r="B12" i="1"/>
  <c r="B13" i="1" s="1"/>
  <c r="A12" i="1"/>
  <c r="A13" i="1" s="1"/>
  <c r="C25" i="3" l="1"/>
  <c r="C14" i="3"/>
  <c r="C22" i="3" s="1"/>
  <c r="E14" i="3"/>
  <c r="C15" i="3"/>
  <c r="C23" i="3" s="1"/>
  <c r="C16" i="3"/>
  <c r="C24" i="3" s="1"/>
  <c r="E16" i="3"/>
  <c r="C17" i="3"/>
  <c r="F25" i="3"/>
  <c r="C20" i="3"/>
  <c r="G21" i="3"/>
  <c r="E12" i="3"/>
  <c r="E13" i="3" s="1"/>
  <c r="E21" i="3" s="1"/>
  <c r="F15" i="3"/>
  <c r="F23" i="3" s="1"/>
  <c r="F17" i="3"/>
  <c r="F14" i="3"/>
  <c r="F22" i="3" s="1"/>
  <c r="H20" i="3"/>
  <c r="H16" i="3"/>
  <c r="H24" i="3" s="1"/>
  <c r="H15" i="3"/>
  <c r="H23" i="3" s="1"/>
  <c r="H17" i="3"/>
  <c r="H25" i="3" s="1"/>
  <c r="E22" i="3"/>
  <c r="E24" i="3"/>
  <c r="G25" i="3"/>
  <c r="H14" i="3"/>
  <c r="H22" i="3" s="1"/>
  <c r="B20" i="3"/>
  <c r="B21" i="3"/>
  <c r="E15" i="3"/>
  <c r="E23" i="3" s="1"/>
  <c r="E17" i="3"/>
  <c r="E25" i="3" s="1"/>
  <c r="G20" i="3"/>
  <c r="B23" i="3"/>
  <c r="B16" i="3"/>
  <c r="B17" i="3" s="1"/>
  <c r="B25" i="3" s="1"/>
  <c r="B22" i="3"/>
  <c r="C21" i="3"/>
  <c r="F20" i="3"/>
  <c r="F21" i="3"/>
  <c r="H21" i="3"/>
  <c r="I12" i="3"/>
  <c r="I13" i="3" s="1"/>
  <c r="I21" i="3" s="1"/>
  <c r="I14" i="3"/>
  <c r="I22" i="3" s="1"/>
  <c r="I15" i="3"/>
  <c r="I23" i="3" s="1"/>
  <c r="I16" i="3"/>
  <c r="I24" i="3" s="1"/>
  <c r="I17" i="3"/>
  <c r="I25" i="3" s="1"/>
  <c r="D12" i="3"/>
  <c r="D13" i="3" s="1"/>
  <c r="D21" i="3" s="1"/>
  <c r="D14" i="3"/>
  <c r="D22" i="3" s="1"/>
  <c r="D15" i="3"/>
  <c r="D23" i="3" s="1"/>
  <c r="D16" i="3"/>
  <c r="D24" i="3" s="1"/>
  <c r="D17" i="3"/>
  <c r="D25" i="3" s="1"/>
  <c r="G14" i="3"/>
  <c r="G22" i="3" s="1"/>
  <c r="G15" i="3"/>
  <c r="G23" i="3" s="1"/>
  <c r="G16" i="3"/>
  <c r="G24" i="3" s="1"/>
  <c r="AK9" i="2"/>
  <c r="AT5" i="2" s="1"/>
  <c r="AL9" i="2"/>
  <c r="AU6" i="2" s="1"/>
  <c r="AU3" i="2"/>
  <c r="AT8" i="2"/>
  <c r="AE9" i="2"/>
  <c r="AN8" i="2" s="1"/>
  <c r="AI9" i="2"/>
  <c r="AR6" i="2" s="1"/>
  <c r="AJ9" i="2"/>
  <c r="AS3" i="2" s="1"/>
  <c r="W4" i="2"/>
  <c r="AF4" i="2" s="1"/>
  <c r="Y3" i="2"/>
  <c r="AH3" i="2" s="1"/>
  <c r="W3" i="2"/>
  <c r="AF3" i="2" s="1"/>
  <c r="X3" i="2"/>
  <c r="AG3" i="2" s="1"/>
  <c r="X4" i="2"/>
  <c r="AG4" i="2" s="1"/>
  <c r="W5" i="2"/>
  <c r="AF5" i="2" s="1"/>
  <c r="AC14" i="1"/>
  <c r="F15" i="1" s="1"/>
  <c r="B23" i="1" s="1"/>
  <c r="S14" i="1"/>
  <c r="P15" i="1" s="1"/>
  <c r="C23" i="1" s="1"/>
  <c r="I14" i="1"/>
  <c r="U15" i="1" s="1"/>
  <c r="D18" i="1" s="1"/>
  <c r="K15" i="1" l="1"/>
  <c r="C18" i="1" s="1"/>
  <c r="A15" i="1"/>
  <c r="B18" i="1" s="1"/>
  <c r="H15" i="1"/>
  <c r="B25" i="1" s="1"/>
  <c r="G15" i="1"/>
  <c r="B24" i="1" s="1"/>
  <c r="O15" i="1"/>
  <c r="C22" i="1" s="1"/>
  <c r="Y15" i="1"/>
  <c r="D22" i="1" s="1"/>
  <c r="E15" i="1"/>
  <c r="B22" i="1" s="1"/>
  <c r="X15" i="1"/>
  <c r="D21" i="1" s="1"/>
  <c r="C15" i="1"/>
  <c r="B20" i="1" s="1"/>
  <c r="D15" i="1"/>
  <c r="B21" i="1" s="1"/>
  <c r="L15" i="1"/>
  <c r="C19" i="1" s="1"/>
  <c r="B15" i="1"/>
  <c r="B19" i="1" s="1"/>
  <c r="R15" i="1"/>
  <c r="C25" i="1" s="1"/>
  <c r="N15" i="1"/>
  <c r="C21" i="1" s="1"/>
  <c r="M15" i="1"/>
  <c r="C20" i="1" s="1"/>
  <c r="Q15" i="1"/>
  <c r="C24" i="1" s="1"/>
  <c r="D20" i="3"/>
  <c r="B24" i="3"/>
  <c r="E20" i="3"/>
  <c r="J24" i="3"/>
  <c r="J25" i="3"/>
  <c r="B34" i="3" s="1"/>
  <c r="J22" i="3"/>
  <c r="D31" i="3" s="1"/>
  <c r="B31" i="3"/>
  <c r="J21" i="3"/>
  <c r="D30" i="3" s="1"/>
  <c r="E30" i="3"/>
  <c r="J23" i="3"/>
  <c r="I32" i="3" s="1"/>
  <c r="B32" i="3"/>
  <c r="I20" i="3"/>
  <c r="AN6" i="2"/>
  <c r="AT7" i="2"/>
  <c r="AS6" i="2"/>
  <c r="AU8" i="2"/>
  <c r="AN5" i="2"/>
  <c r="AN3" i="2"/>
  <c r="AT6" i="2"/>
  <c r="AR5" i="2"/>
  <c r="AS4" i="2"/>
  <c r="AT4" i="2"/>
  <c r="AH9" i="2"/>
  <c r="AR4" i="2"/>
  <c r="AR3" i="2"/>
  <c r="AR8" i="2"/>
  <c r="AU5" i="2"/>
  <c r="AS8" i="2"/>
  <c r="AS7" i="2"/>
  <c r="AU4" i="2"/>
  <c r="AG9" i="2"/>
  <c r="AP3" i="2" s="1"/>
  <c r="AS5" i="2"/>
  <c r="AR7" i="2"/>
  <c r="AU7" i="2"/>
  <c r="AT3" i="2"/>
  <c r="AN7" i="2"/>
  <c r="AF9" i="2"/>
  <c r="AN4" i="2"/>
  <c r="AA15" i="1"/>
  <c r="D24" i="1" s="1"/>
  <c r="W15" i="1"/>
  <c r="D20" i="1" s="1"/>
  <c r="AB15" i="1"/>
  <c r="D25" i="1" s="1"/>
  <c r="Z15" i="1"/>
  <c r="D23" i="1" s="1"/>
  <c r="V15" i="1"/>
  <c r="D19" i="1" s="1"/>
  <c r="I31" i="3" l="1"/>
  <c r="I34" i="3"/>
  <c r="I30" i="3"/>
  <c r="C30" i="3"/>
  <c r="G31" i="3"/>
  <c r="J20" i="3"/>
  <c r="C34" i="3"/>
  <c r="G34" i="3"/>
  <c r="F34" i="3"/>
  <c r="H34" i="3"/>
  <c r="E34" i="3"/>
  <c r="G30" i="3"/>
  <c r="B30" i="3"/>
  <c r="F30" i="3"/>
  <c r="C33" i="3"/>
  <c r="F33" i="3"/>
  <c r="E33" i="3"/>
  <c r="H33" i="3"/>
  <c r="C32" i="3"/>
  <c r="E32" i="3"/>
  <c r="H32" i="3"/>
  <c r="F32" i="3"/>
  <c r="G32" i="3"/>
  <c r="D33" i="3"/>
  <c r="D32" i="3"/>
  <c r="D34" i="3"/>
  <c r="G33" i="3"/>
  <c r="H30" i="3"/>
  <c r="C31" i="3"/>
  <c r="F31" i="3"/>
  <c r="H31" i="3"/>
  <c r="E31" i="3"/>
  <c r="B33" i="3"/>
  <c r="I33" i="3"/>
  <c r="AO6" i="2"/>
  <c r="AO7" i="2"/>
  <c r="AO8" i="2"/>
  <c r="AO4" i="2"/>
  <c r="AO3" i="2"/>
  <c r="AO5" i="2"/>
  <c r="AP6" i="2"/>
  <c r="AP7" i="2"/>
  <c r="AP8" i="2"/>
  <c r="AP5" i="2"/>
  <c r="AQ6" i="2"/>
  <c r="AQ5" i="2"/>
  <c r="AQ8" i="2"/>
  <c r="AQ4" i="2"/>
  <c r="AQ7" i="2"/>
  <c r="AQ3" i="2"/>
  <c r="AP4" i="2"/>
  <c r="H29" i="3" l="1"/>
  <c r="B29" i="3"/>
  <c r="E29" i="3"/>
  <c r="C29" i="3"/>
  <c r="D29" i="3"/>
  <c r="G29" i="3"/>
  <c r="F29" i="3"/>
  <c r="I29" i="3"/>
</calcChain>
</file>

<file path=xl/sharedStrings.xml><?xml version="1.0" encoding="utf-8"?>
<sst xmlns="http://schemas.openxmlformats.org/spreadsheetml/2006/main" count="233" uniqueCount="87">
  <si>
    <t>Left</t>
  </si>
  <si>
    <t>Midlle</t>
  </si>
  <si>
    <t>Right</t>
  </si>
  <si>
    <t>w1</t>
  </si>
  <si>
    <t>w2</t>
  </si>
  <si>
    <t>w3</t>
  </si>
  <si>
    <t>w4</t>
  </si>
  <si>
    <t>w5</t>
  </si>
  <si>
    <t>w6</t>
  </si>
  <si>
    <t>w7</t>
  </si>
  <si>
    <t>w8</t>
  </si>
  <si>
    <t>d(max)-d</t>
  </si>
  <si>
    <t>1-E</t>
  </si>
  <si>
    <t>TS weights</t>
  </si>
  <si>
    <t>Year</t>
  </si>
  <si>
    <t>QOL Index</t>
  </si>
  <si>
    <t>Purchasing Power Index</t>
  </si>
  <si>
    <t>Safety Index</t>
  </si>
  <si>
    <t>Health Care Index</t>
  </si>
  <si>
    <t>Cost of Living Index</t>
  </si>
  <si>
    <t>Property Price to Income Ratio</t>
  </si>
  <si>
    <t>Traffic Commute Time Index</t>
  </si>
  <si>
    <t>Pollution Index</t>
  </si>
  <si>
    <t>Climate Index</t>
  </si>
  <si>
    <t>102.7</t>
  </si>
  <si>
    <t>67.9</t>
  </si>
  <si>
    <t>44.6</t>
  </si>
  <si>
    <t>40.0</t>
  </si>
  <si>
    <t>76.3</t>
  </si>
  <si>
    <t>91.4</t>
  </si>
  <si>
    <t>101.4</t>
  </si>
  <si>
    <t>68.0</t>
  </si>
  <si>
    <t>74.3</t>
  </si>
  <si>
    <t>108.8</t>
  </si>
  <si>
    <t>68.3</t>
  </si>
  <si>
    <t>46.6</t>
  </si>
  <si>
    <t>39.6</t>
  </si>
  <si>
    <t>74.0</t>
  </si>
  <si>
    <t>108.5</t>
  </si>
  <si>
    <t>47.5</t>
  </si>
  <si>
    <t>39.5</t>
  </si>
  <si>
    <t>73.4</t>
  </si>
  <si>
    <t>112.5</t>
  </si>
  <si>
    <t>68.6</t>
  </si>
  <si>
    <t>48.3</t>
  </si>
  <si>
    <t>39.9</t>
  </si>
  <si>
    <t>72.7</t>
  </si>
  <si>
    <t>114.4</t>
  </si>
  <si>
    <t>68.2</t>
  </si>
  <si>
    <t>49.1</t>
  </si>
  <si>
    <t>40.2</t>
  </si>
  <si>
    <t>72.0</t>
  </si>
  <si>
    <t>Max</t>
  </si>
  <si>
    <t>D</t>
  </si>
  <si>
    <t>Min</t>
  </si>
  <si>
    <t>Sign</t>
  </si>
  <si>
    <t>+</t>
  </si>
  <si>
    <t>-</t>
  </si>
  <si>
    <t>Time series weights</t>
  </si>
  <si>
    <t>Years</t>
  </si>
  <si>
    <t>Criteria weights according to PCA</t>
  </si>
  <si>
    <t>Hybrid weights</t>
  </si>
  <si>
    <t>sum</t>
  </si>
  <si>
    <t>SD</t>
  </si>
  <si>
    <t>x1</t>
  </si>
  <si>
    <t>x2</t>
  </si>
  <si>
    <t>x3</t>
  </si>
  <si>
    <t>x4</t>
  </si>
  <si>
    <t>x5</t>
  </si>
  <si>
    <t>x6</t>
  </si>
  <si>
    <t>x7</t>
  </si>
  <si>
    <t>x8</t>
  </si>
  <si>
    <t>Aggregated Values</t>
  </si>
  <si>
    <t>2020   PI     PPIR   CLI   TCTI   PPI    SI    HCI     CI</t>
  </si>
  <si>
    <t>2021   PI     PPIR   CLI   TCTI   PPI    SI    HCI     CI</t>
  </si>
  <si>
    <t>2022   CI     HCI    SI    PPI    TCTI   CLI   PPIR    PI</t>
  </si>
  <si>
    <t>2023   CI     HCI    SI    PPI    TCTI   CLI   PPIR    PI</t>
  </si>
  <si>
    <t>2024   CI     HCI    SI    PPI    TCTI   CLI   PPIR    PI</t>
  </si>
  <si>
    <t>2025   CI     HCI    SI    PPI    TCTI   CLI   PPIR    PI</t>
  </si>
  <si>
    <t>SQOLI Data</t>
  </si>
  <si>
    <t>Normalization odf SQOLI components</t>
  </si>
  <si>
    <t>Fuzzification of SQOLI</t>
  </si>
  <si>
    <t>Fuzzy values of SQOLIover Years</t>
  </si>
  <si>
    <t>Similarity computations</t>
  </si>
  <si>
    <t>Application of weight equation</t>
  </si>
  <si>
    <t>Weights of indicators(SQOLI components)</t>
  </si>
  <si>
    <t>Consistent FCRPRM for SQOLI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</si>
</sst>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"/>
    <numFmt numFmtId="165" formatCode="0.000000000"/>
    <numFmt numFmtId="166" formatCode="0.00000000000"/>
    <numFmt numFmtId="167" formatCode="0.00000000"/>
    <numFmt numFmtId="168" formatCode="0.0000"/>
    <numFmt numFmtId="169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206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9"/>
      <color rgb="FF000000"/>
      <name val="Times New Roman"/>
      <family val="1"/>
      <charset val="204"/>
    </font>
    <font>
      <b/>
      <sz val="11"/>
      <color rgb="FFC0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charset val="204"/>
      <scheme val="minor"/>
    </font>
    <font>
      <b/>
      <sz val="11"/>
      <color rgb="FFC00000"/>
      <name val="Calibri"/>
      <family val="2"/>
      <charset val="186"/>
      <scheme val="minor"/>
    </font>
    <font>
      <b/>
      <sz val="9"/>
      <color rgb="FFC00000"/>
      <name val="Times New Roman"/>
      <family val="1"/>
      <charset val="186"/>
    </font>
    <font>
      <sz val="9"/>
      <color rgb="FF000000"/>
      <name val="Times New Roman"/>
      <family val="1"/>
      <charset val="204"/>
    </font>
    <font>
      <sz val="10"/>
      <color rgb="FFEE0000"/>
      <name val="Lucida Console"/>
      <family val="3"/>
      <charset val="204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2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168" fontId="0" fillId="0" borderId="0" xfId="0" applyNumberFormat="1"/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0" borderId="2" xfId="0" applyFont="1" applyBorder="1" applyAlignment="1">
      <alignment horizontal="center"/>
    </xf>
    <xf numFmtId="2" fontId="6" fillId="0" borderId="0" xfId="0" applyNumberFormat="1" applyFont="1"/>
    <xf numFmtId="0" fontId="3" fillId="0" borderId="0" xfId="0" applyFont="1"/>
    <xf numFmtId="0" fontId="7" fillId="0" borderId="2" xfId="0" applyFont="1" applyBorder="1"/>
    <xf numFmtId="2" fontId="8" fillId="0" borderId="2" xfId="0" applyNumberFormat="1" applyFont="1" applyBorder="1" applyAlignment="1">
      <alignment horizontal="center"/>
    </xf>
    <xf numFmtId="2" fontId="9" fillId="2" borderId="2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6" fillId="0" borderId="0" xfId="0" applyFont="1"/>
    <xf numFmtId="0" fontId="3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2" fontId="10" fillId="2" borderId="2" xfId="0" applyNumberFormat="1" applyFont="1" applyFill="1" applyBorder="1" applyAlignment="1">
      <alignment horizontal="center" vertical="center" wrapText="1"/>
    </xf>
    <xf numFmtId="169" fontId="0" fillId="0" borderId="0" xfId="0" applyNumberFormat="1" applyAlignment="1">
      <alignment horizontal="center"/>
    </xf>
    <xf numFmtId="169" fontId="0" fillId="0" borderId="0" xfId="0" applyNumberFormat="1"/>
    <xf numFmtId="0" fontId="8" fillId="0" borderId="2" xfId="0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esktop\Sustainable%20QOL\Weights.xlsx" TargetMode="External"/><Relationship Id="rId1" Type="http://schemas.openxmlformats.org/officeDocument/2006/relationships/externalLinkPath" Target="/Users/Administrator/Desktop/Sustainable%20QOL/Weigh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iteria weights"/>
      <sheetName val="Time Series Weights"/>
      <sheetName val="Hybrid weights"/>
    </sheetNames>
    <sheetDataSet>
      <sheetData sheetId="0">
        <row r="16">
          <cell r="C16">
            <v>0.25378970362543979</v>
          </cell>
        </row>
        <row r="17">
          <cell r="C17">
            <v>0.21392445099862809</v>
          </cell>
        </row>
        <row r="18">
          <cell r="C18">
            <v>0.17209775277489317</v>
          </cell>
        </row>
        <row r="19">
          <cell r="C19">
            <v>0.1315904076124732</v>
          </cell>
        </row>
        <row r="20">
          <cell r="C20">
            <v>9.4447914234908989E-2</v>
          </cell>
        </row>
        <row r="21">
          <cell r="C21">
            <v>6.5122411719818724E-2</v>
          </cell>
        </row>
        <row r="22">
          <cell r="C22">
            <v>4.2323215421576826E-2</v>
          </cell>
        </row>
        <row r="23">
          <cell r="C23">
            <v>2.670414361226128E-2</v>
          </cell>
        </row>
      </sheetData>
      <sheetData sheetId="1">
        <row r="3">
          <cell r="AN3">
            <v>0.16638471515974632</v>
          </cell>
          <cell r="AO3">
            <v>0.16662754252746895</v>
          </cell>
          <cell r="AP3">
            <v>0.16650660615292462</v>
          </cell>
          <cell r="AQ3">
            <v>0.16672343912677295</v>
          </cell>
          <cell r="AR3">
            <v>0.16678394783956565</v>
          </cell>
          <cell r="AS3">
            <v>0.16666868403051419</v>
          </cell>
          <cell r="AT3">
            <v>0.16706164795781522</v>
          </cell>
          <cell r="AU3">
            <v>0.16666666666666666</v>
          </cell>
        </row>
        <row r="4">
          <cell r="AN4">
            <v>0.16617570495575215</v>
          </cell>
          <cell r="AO4">
            <v>0.16663980448455087</v>
          </cell>
          <cell r="AP4">
            <v>0.16650660615292462</v>
          </cell>
          <cell r="AQ4">
            <v>0.16666094699117037</v>
          </cell>
          <cell r="AR4">
            <v>0.16697506338025328</v>
          </cell>
          <cell r="AS4">
            <v>0.16666868403051419</v>
          </cell>
          <cell r="AT4">
            <v>0.16673845899931042</v>
          </cell>
          <cell r="AU4">
            <v>0.16666666666666666</v>
          </cell>
        </row>
        <row r="5">
          <cell r="AN5">
            <v>0.16650374838111007</v>
          </cell>
          <cell r="AO5">
            <v>0.16667688444811099</v>
          </cell>
          <cell r="AP5">
            <v>0.16665053239083183</v>
          </cell>
          <cell r="AQ5">
            <v>0.16656678104320211</v>
          </cell>
          <cell r="AR5">
            <v>0.1664030006966396</v>
          </cell>
          <cell r="AS5">
            <v>0.16666262936586645</v>
          </cell>
          <cell r="AT5">
            <v>0.16669258637937695</v>
          </cell>
          <cell r="AU5">
            <v>0.16666666666666666</v>
          </cell>
        </row>
        <row r="6">
          <cell r="AN6">
            <v>0.16645989341831197</v>
          </cell>
          <cell r="AO6">
            <v>0.16667688444811099</v>
          </cell>
          <cell r="AP6">
            <v>0.16671756839024299</v>
          </cell>
          <cell r="AQ6">
            <v>0.1666643237581969</v>
          </cell>
          <cell r="AR6">
            <v>0.16649378684910895</v>
          </cell>
          <cell r="AS6">
            <v>0.16666111753642587</v>
          </cell>
          <cell r="AT6">
            <v>0.16660280415488019</v>
          </cell>
          <cell r="AU6">
            <v>0.16666666666666666</v>
          </cell>
        </row>
        <row r="7">
          <cell r="AN7">
            <v>0.16696717785423326</v>
          </cell>
          <cell r="AO7">
            <v>0.16671440880070129</v>
          </cell>
          <cell r="AP7">
            <v>0.16677836601909005</v>
          </cell>
          <cell r="AQ7">
            <v>0.16672918190317706</v>
          </cell>
          <cell r="AR7">
            <v>0.16650919981370563</v>
          </cell>
          <cell r="AS7">
            <v>0.16666716926175473</v>
          </cell>
          <cell r="AT7">
            <v>0.16650130018309131</v>
          </cell>
          <cell r="AU7">
            <v>0.16666666666666666</v>
          </cell>
        </row>
        <row r="8">
          <cell r="AN8">
            <v>0.16750876023084627</v>
          </cell>
          <cell r="AO8">
            <v>0.16666447529105691</v>
          </cell>
          <cell r="AP8">
            <v>0.16684032089398598</v>
          </cell>
          <cell r="AQ8">
            <v>0.16665532717748063</v>
          </cell>
          <cell r="AR8">
            <v>0.16683500142072696</v>
          </cell>
          <cell r="AS8">
            <v>0.16667171577492457</v>
          </cell>
          <cell r="AT8">
            <v>0.16640320232552588</v>
          </cell>
          <cell r="AU8">
            <v>0.16666666666666666</v>
          </cell>
        </row>
        <row r="10">
          <cell r="AN10">
            <v>0.25378970362543979</v>
          </cell>
          <cell r="AO10">
            <v>0.21392445099862809</v>
          </cell>
          <cell r="AP10">
            <v>0.17209775277489317</v>
          </cell>
          <cell r="AQ10">
            <v>0.1315904076124732</v>
          </cell>
          <cell r="AR10">
            <v>9.4447914234908989E-2</v>
          </cell>
          <cell r="AS10">
            <v>6.5122411719818724E-2</v>
          </cell>
          <cell r="AT10">
            <v>4.2323215421576826E-2</v>
          </cell>
          <cell r="AU10">
            <v>2.670414361226128E-2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"/>
  <sheetViews>
    <sheetView tabSelected="1" workbookViewId="0">
      <selection activeCell="G1" sqref="G1:L1"/>
    </sheetView>
  </sheetViews>
  <sheetFormatPr defaultRowHeight="15" x14ac:dyDescent="0.25"/>
  <cols>
    <col min="5" max="5" width="10" bestFit="1" customWidth="1"/>
    <col min="6" max="6" width="10.28515625" customWidth="1"/>
    <col min="7" max="7" width="11.5703125" bestFit="1" customWidth="1"/>
    <col min="8" max="8" width="13.5703125" customWidth="1"/>
    <col min="17" max="18" width="11" bestFit="1" customWidth="1"/>
  </cols>
  <sheetData>
    <row r="1" spans="1:29" x14ac:dyDescent="0.25">
      <c r="G1" s="46" t="s">
        <v>86</v>
      </c>
      <c r="H1" s="46"/>
      <c r="I1" s="46"/>
      <c r="J1" s="46"/>
      <c r="K1" s="46"/>
      <c r="L1" s="46"/>
    </row>
    <row r="2" spans="1:29" x14ac:dyDescent="0.25">
      <c r="A2" s="39" t="s">
        <v>0</v>
      </c>
      <c r="B2" s="39"/>
      <c r="C2" s="39"/>
      <c r="D2" s="39"/>
      <c r="E2" s="39"/>
      <c r="F2" s="39"/>
      <c r="G2" s="39"/>
      <c r="H2" s="39"/>
      <c r="I2" s="39"/>
      <c r="J2" s="2"/>
      <c r="K2" s="39" t="s">
        <v>1</v>
      </c>
      <c r="L2" s="39"/>
      <c r="M2" s="39"/>
      <c r="N2" s="39"/>
      <c r="O2" s="39"/>
      <c r="P2" s="39"/>
      <c r="Q2" s="39"/>
      <c r="R2" s="39"/>
      <c r="S2" s="39"/>
      <c r="T2" s="2"/>
      <c r="U2" s="39" t="s">
        <v>2</v>
      </c>
      <c r="V2" s="39"/>
      <c r="W2" s="39"/>
      <c r="X2" s="39"/>
      <c r="Y2" s="39"/>
      <c r="Z2" s="39"/>
    </row>
    <row r="3" spans="1:29" x14ac:dyDescent="0.25">
      <c r="A3" s="3">
        <v>0.5</v>
      </c>
      <c r="B3" s="3">
        <v>0.5</v>
      </c>
      <c r="C3" s="3">
        <v>0.5</v>
      </c>
      <c r="D3" s="3">
        <v>0.5</v>
      </c>
      <c r="E3" s="3">
        <v>0.5</v>
      </c>
      <c r="F3" s="3">
        <v>0.5</v>
      </c>
      <c r="G3" s="3">
        <v>0.5</v>
      </c>
      <c r="H3" s="3">
        <v>0.5</v>
      </c>
      <c r="I3" s="3"/>
      <c r="J3" s="3"/>
      <c r="K3" s="3">
        <v>0.5</v>
      </c>
      <c r="L3" s="3">
        <v>0.6</v>
      </c>
      <c r="M3" s="3">
        <v>0.69</v>
      </c>
      <c r="N3" s="3">
        <v>0.77</v>
      </c>
      <c r="O3" s="3">
        <v>0.84</v>
      </c>
      <c r="P3" s="3">
        <v>0.88</v>
      </c>
      <c r="Q3" s="3">
        <v>0.92</v>
      </c>
      <c r="R3" s="3">
        <v>0.94</v>
      </c>
      <c r="S3" s="3"/>
      <c r="U3" s="3">
        <v>0.5</v>
      </c>
      <c r="V3" s="3">
        <v>0.67</v>
      </c>
      <c r="W3" s="3">
        <v>0.8</v>
      </c>
      <c r="X3" s="3">
        <v>0.88</v>
      </c>
      <c r="Y3" s="3">
        <v>0.94</v>
      </c>
      <c r="Z3" s="3">
        <v>0.97</v>
      </c>
      <c r="AA3" s="3">
        <v>0.99</v>
      </c>
      <c r="AB3" s="3">
        <v>0.99</v>
      </c>
    </row>
    <row r="4" spans="1:29" x14ac:dyDescent="0.25">
      <c r="A4" s="3">
        <v>0.33</v>
      </c>
      <c r="B4" s="3">
        <v>0.5</v>
      </c>
      <c r="C4" s="3">
        <v>0.5</v>
      </c>
      <c r="D4" s="3">
        <v>0.5</v>
      </c>
      <c r="E4" s="3">
        <v>0.5</v>
      </c>
      <c r="F4" s="3">
        <v>0.5</v>
      </c>
      <c r="G4" s="3">
        <v>0.5</v>
      </c>
      <c r="H4" s="3">
        <v>0.5</v>
      </c>
      <c r="I4" s="3"/>
      <c r="J4" s="3"/>
      <c r="K4" s="3">
        <v>0.4</v>
      </c>
      <c r="L4" s="3">
        <v>0.5</v>
      </c>
      <c r="M4" s="3">
        <v>0.6</v>
      </c>
      <c r="N4" s="3">
        <v>0.69</v>
      </c>
      <c r="O4" s="3">
        <v>0.77</v>
      </c>
      <c r="P4" s="3">
        <v>0.84</v>
      </c>
      <c r="Q4" s="3">
        <v>0.88</v>
      </c>
      <c r="R4" s="3">
        <v>0.92</v>
      </c>
      <c r="S4" s="3"/>
      <c r="U4" s="3">
        <v>0.5</v>
      </c>
      <c r="V4" s="3">
        <v>0.5</v>
      </c>
      <c r="W4" s="3">
        <v>0.67</v>
      </c>
      <c r="X4" s="3">
        <v>0.8</v>
      </c>
      <c r="Y4" s="3">
        <v>0.88</v>
      </c>
      <c r="Z4" s="3">
        <v>0.94</v>
      </c>
      <c r="AA4" s="3">
        <v>0.97</v>
      </c>
      <c r="AB4" s="3">
        <v>0.99</v>
      </c>
    </row>
    <row r="5" spans="1:29" x14ac:dyDescent="0.25">
      <c r="A5" s="3">
        <v>0.2</v>
      </c>
      <c r="B5" s="3">
        <v>0.33</v>
      </c>
      <c r="C5" s="3">
        <v>0.5</v>
      </c>
      <c r="D5" s="3">
        <v>0.5</v>
      </c>
      <c r="E5" s="3">
        <v>0.5</v>
      </c>
      <c r="F5" s="3">
        <v>0.5</v>
      </c>
      <c r="G5" s="3">
        <v>0.5</v>
      </c>
      <c r="H5" s="3">
        <v>0.5</v>
      </c>
      <c r="I5" s="3"/>
      <c r="J5" s="3"/>
      <c r="K5" s="3">
        <v>0.31</v>
      </c>
      <c r="L5" s="3">
        <v>0.4</v>
      </c>
      <c r="M5" s="3">
        <v>0.5</v>
      </c>
      <c r="N5" s="3">
        <v>0.6</v>
      </c>
      <c r="O5" s="3">
        <v>0.69</v>
      </c>
      <c r="P5" s="3">
        <v>0.77</v>
      </c>
      <c r="Q5" s="3">
        <v>0.84</v>
      </c>
      <c r="R5" s="3">
        <v>0.88</v>
      </c>
      <c r="S5" s="3"/>
      <c r="T5" s="3"/>
      <c r="U5" s="3">
        <v>0.5</v>
      </c>
      <c r="V5" s="3">
        <v>0.5</v>
      </c>
      <c r="W5" s="3">
        <v>0.5</v>
      </c>
      <c r="X5" s="3">
        <v>0.67</v>
      </c>
      <c r="Y5" s="3">
        <v>0.8</v>
      </c>
      <c r="Z5" s="3">
        <v>0.88</v>
      </c>
      <c r="AA5" s="3">
        <v>0.94</v>
      </c>
      <c r="AB5" s="3">
        <v>0.97</v>
      </c>
    </row>
    <row r="6" spans="1:29" x14ac:dyDescent="0.25">
      <c r="A6" s="3">
        <v>0.12</v>
      </c>
      <c r="B6" s="3">
        <v>0.2</v>
      </c>
      <c r="C6" s="3">
        <v>0.33</v>
      </c>
      <c r="D6" s="3">
        <v>0.5</v>
      </c>
      <c r="E6" s="3">
        <v>0.5</v>
      </c>
      <c r="F6" s="3">
        <v>0.5</v>
      </c>
      <c r="G6" s="3">
        <v>0.5</v>
      </c>
      <c r="H6" s="3">
        <v>0.5</v>
      </c>
      <c r="I6" s="3"/>
      <c r="J6" s="3"/>
      <c r="K6" s="3">
        <v>0.23</v>
      </c>
      <c r="L6" s="3">
        <v>0.31</v>
      </c>
      <c r="M6" s="3">
        <v>0.4</v>
      </c>
      <c r="N6" s="3">
        <v>0.5</v>
      </c>
      <c r="O6" s="3">
        <v>0.6</v>
      </c>
      <c r="P6" s="3">
        <v>0.69</v>
      </c>
      <c r="Q6" s="3">
        <v>0.77</v>
      </c>
      <c r="R6" s="3">
        <v>0.84</v>
      </c>
      <c r="S6" s="3"/>
      <c r="U6" s="3">
        <v>0.5</v>
      </c>
      <c r="V6" s="3">
        <v>0.5</v>
      </c>
      <c r="W6" s="3">
        <v>0.5</v>
      </c>
      <c r="X6" s="3">
        <v>0.5</v>
      </c>
      <c r="Y6" s="3">
        <v>0.67</v>
      </c>
      <c r="Z6" s="3">
        <v>0.8</v>
      </c>
      <c r="AA6" s="3">
        <v>0.88</v>
      </c>
      <c r="AB6" s="3">
        <v>0.94</v>
      </c>
    </row>
    <row r="7" spans="1:29" x14ac:dyDescent="0.25">
      <c r="A7" s="3">
        <v>0.06</v>
      </c>
      <c r="B7" s="3">
        <v>0.12</v>
      </c>
      <c r="C7" s="3">
        <v>0.2</v>
      </c>
      <c r="D7" s="3">
        <v>0.33</v>
      </c>
      <c r="E7" s="3">
        <v>0.5</v>
      </c>
      <c r="F7" s="3">
        <v>0.5</v>
      </c>
      <c r="G7" s="3">
        <v>0.5</v>
      </c>
      <c r="H7" s="3">
        <v>0.5</v>
      </c>
      <c r="I7" s="3"/>
      <c r="J7" s="3"/>
      <c r="K7" s="3">
        <v>0.16</v>
      </c>
      <c r="L7" s="3">
        <v>0.23</v>
      </c>
      <c r="M7" s="3">
        <v>0.31</v>
      </c>
      <c r="N7" s="3">
        <v>0.4</v>
      </c>
      <c r="O7" s="3">
        <v>0.5</v>
      </c>
      <c r="P7" s="3">
        <v>0.6</v>
      </c>
      <c r="Q7" s="3">
        <v>0.69</v>
      </c>
      <c r="R7" s="3">
        <v>0.77</v>
      </c>
      <c r="S7" s="3"/>
      <c r="U7" s="3">
        <v>0.5</v>
      </c>
      <c r="V7" s="3">
        <v>0.5</v>
      </c>
      <c r="W7" s="3">
        <v>0.5</v>
      </c>
      <c r="X7" s="3">
        <v>0.5</v>
      </c>
      <c r="Y7" s="3">
        <v>0.5</v>
      </c>
      <c r="Z7" s="3">
        <v>0.67</v>
      </c>
      <c r="AA7" s="3">
        <v>0.8</v>
      </c>
      <c r="AB7" s="3">
        <v>0.88</v>
      </c>
    </row>
    <row r="8" spans="1:29" x14ac:dyDescent="0.25">
      <c r="A8" s="3">
        <v>0.03</v>
      </c>
      <c r="B8" s="3">
        <v>0.06</v>
      </c>
      <c r="C8" s="3">
        <v>0.12</v>
      </c>
      <c r="D8" s="3">
        <v>0.2</v>
      </c>
      <c r="E8" s="3">
        <v>0.33</v>
      </c>
      <c r="F8" s="3">
        <v>0.5</v>
      </c>
      <c r="G8" s="3">
        <v>0.5</v>
      </c>
      <c r="H8" s="3">
        <v>0.5</v>
      </c>
      <c r="I8" s="3"/>
      <c r="J8" s="3"/>
      <c r="K8" s="3">
        <v>0.12</v>
      </c>
      <c r="L8" s="3">
        <v>0.16</v>
      </c>
      <c r="M8" s="3">
        <v>0.23</v>
      </c>
      <c r="N8" s="3">
        <v>0.31</v>
      </c>
      <c r="O8" s="3">
        <v>0.4</v>
      </c>
      <c r="P8" s="3">
        <v>0.5</v>
      </c>
      <c r="Q8" s="3">
        <v>0.6</v>
      </c>
      <c r="R8" s="3">
        <v>0.69</v>
      </c>
      <c r="S8" s="3"/>
      <c r="U8" s="3">
        <v>0.5</v>
      </c>
      <c r="V8" s="3">
        <v>0.5</v>
      </c>
      <c r="W8" s="3">
        <v>0.5</v>
      </c>
      <c r="X8" s="3">
        <v>0.5</v>
      </c>
      <c r="Y8" s="3">
        <v>0.5</v>
      </c>
      <c r="Z8" s="3">
        <v>0.5</v>
      </c>
      <c r="AA8" s="3">
        <v>0.67</v>
      </c>
      <c r="AB8" s="3">
        <v>0.8</v>
      </c>
    </row>
    <row r="9" spans="1:29" x14ac:dyDescent="0.25">
      <c r="A9" s="3">
        <v>0.01</v>
      </c>
      <c r="B9" s="3">
        <v>0.03</v>
      </c>
      <c r="C9" s="3">
        <v>0.06</v>
      </c>
      <c r="D9" s="3">
        <v>0.12</v>
      </c>
      <c r="E9" s="3">
        <v>0.2</v>
      </c>
      <c r="F9" s="3">
        <v>0.33</v>
      </c>
      <c r="G9" s="3">
        <v>0.5</v>
      </c>
      <c r="H9" s="3">
        <v>0.5</v>
      </c>
      <c r="I9" s="3"/>
      <c r="J9" s="3"/>
      <c r="K9" s="3">
        <v>0.08</v>
      </c>
      <c r="L9" s="3">
        <v>0.12</v>
      </c>
      <c r="M9" s="3">
        <v>0.16</v>
      </c>
      <c r="N9" s="3">
        <v>0.23</v>
      </c>
      <c r="O9" s="3">
        <v>0.31</v>
      </c>
      <c r="P9" s="3">
        <v>0.4</v>
      </c>
      <c r="Q9" s="3">
        <v>0.5</v>
      </c>
      <c r="R9" s="3">
        <v>0.6</v>
      </c>
      <c r="S9" s="3"/>
      <c r="U9" s="3">
        <v>0.5</v>
      </c>
      <c r="V9" s="3">
        <v>0.5</v>
      </c>
      <c r="W9" s="3">
        <v>0.5</v>
      </c>
      <c r="X9" s="3">
        <v>0.5</v>
      </c>
      <c r="Y9" s="3">
        <v>0.5</v>
      </c>
      <c r="Z9" s="3">
        <v>0.5</v>
      </c>
      <c r="AA9" s="3">
        <v>0.5</v>
      </c>
      <c r="AB9" s="3">
        <v>0.67</v>
      </c>
    </row>
    <row r="10" spans="1:29" x14ac:dyDescent="0.25">
      <c r="A10" s="3">
        <v>0.01</v>
      </c>
      <c r="B10" s="3">
        <v>0.01</v>
      </c>
      <c r="C10" s="3">
        <v>0.01</v>
      </c>
      <c r="D10" s="3">
        <v>0.06</v>
      </c>
      <c r="E10" s="3">
        <v>0.12</v>
      </c>
      <c r="F10" s="3">
        <v>0.2</v>
      </c>
      <c r="G10" s="3">
        <v>0.33</v>
      </c>
      <c r="H10" s="3">
        <v>0.5</v>
      </c>
      <c r="I10" s="3"/>
      <c r="J10" s="3"/>
      <c r="K10" s="3">
        <v>0.06</v>
      </c>
      <c r="L10" s="3">
        <v>0.08</v>
      </c>
      <c r="M10" s="3">
        <v>0.12</v>
      </c>
      <c r="N10" s="3">
        <v>0.16</v>
      </c>
      <c r="O10" s="3">
        <v>0.23</v>
      </c>
      <c r="P10" s="3">
        <v>0.31</v>
      </c>
      <c r="Q10" s="3">
        <v>0.4</v>
      </c>
      <c r="R10" s="3">
        <v>0.5</v>
      </c>
      <c r="S10" s="3"/>
      <c r="U10" s="3">
        <v>0.5</v>
      </c>
      <c r="V10" s="3">
        <v>0.5</v>
      </c>
      <c r="W10" s="3">
        <v>0.5</v>
      </c>
      <c r="X10" s="3">
        <v>0.5</v>
      </c>
      <c r="Y10" s="3">
        <v>0.5</v>
      </c>
      <c r="Z10" s="3">
        <v>0.5</v>
      </c>
      <c r="AA10" s="3">
        <v>0.5</v>
      </c>
      <c r="AB10" s="3">
        <v>0.5</v>
      </c>
    </row>
    <row r="11" spans="1:29" x14ac:dyDescent="0.25">
      <c r="A11" s="3"/>
      <c r="G11" s="40" t="s">
        <v>84</v>
      </c>
      <c r="H11" s="40"/>
      <c r="I11" s="40"/>
      <c r="J11" s="40"/>
      <c r="K11" s="40"/>
      <c r="L11" s="40"/>
      <c r="M11" s="3"/>
      <c r="N11" s="3"/>
      <c r="X11" s="3"/>
    </row>
    <row r="12" spans="1:29" x14ac:dyDescent="0.25">
      <c r="A12">
        <f>A3*B3*C3*D3*E3*F3*G3*H3</f>
        <v>3.90625E-3</v>
      </c>
      <c r="B12">
        <f>A4*B4*C4*D4*E4*F4*G4*H4</f>
        <v>2.5781250000000001E-3</v>
      </c>
      <c r="C12">
        <f>A5*B5*C5*D5*E5*F5*G5*H5</f>
        <v>1.03125E-3</v>
      </c>
      <c r="D12">
        <f>A6*B6*C6*D6*E6*F6*G6*H6</f>
        <v>2.475E-4</v>
      </c>
      <c r="E12">
        <f>A7*B7*C7*D7*E7*F7*G7*H7</f>
        <v>2.9700000000000004E-5</v>
      </c>
      <c r="F12" s="4">
        <f>A8*B8*C8*D8*E8*F8*G8*H8</f>
        <v>1.782E-6</v>
      </c>
      <c r="G12" s="5">
        <f>A9*B9*C9*D9*E9*F9*G9*H9</f>
        <v>3.564E-8</v>
      </c>
      <c r="H12" s="6">
        <f>A10*B10*C10*D10*E10*F10*G10*H10</f>
        <v>2.3760000000000004E-10</v>
      </c>
      <c r="K12">
        <f>K3*L3*M3*N3*O3*P3*Q3*R3</f>
        <v>0.10189167690239999</v>
      </c>
      <c r="L12">
        <f>K4*L4*M4*N4*O4*P4*Q4*R4</f>
        <v>4.3358160383999991E-2</v>
      </c>
      <c r="M12">
        <f>K5*L5*M5*N5*O5*P5*Q5*R5</f>
        <v>1.4609814911999999E-2</v>
      </c>
      <c r="N12">
        <f>K6*L6*M6*N6*O6*P6*Q6*R6</f>
        <v>3.818474352E-3</v>
      </c>
      <c r="O12">
        <f>K7*L7*M7*N7*O7*P7*Q7*R7</f>
        <v>7.2732844800000001E-4</v>
      </c>
      <c r="P12">
        <f>K8*L8*M8*N8*O8*P8*Q8*R8</f>
        <v>1.1334988799999999E-4</v>
      </c>
      <c r="Q12" s="7">
        <f>K9*L9*M9*N9*O9*P9*Q9*R9</f>
        <v>1.3142015999999999E-5</v>
      </c>
      <c r="R12" s="7">
        <f>K10*L10*M10*N10*O10*P10*Q10*R10</f>
        <v>1.3142015999999999E-6</v>
      </c>
      <c r="U12">
        <f>U3*V3*W3*X3*Y3*Z3*AA3*AB3</f>
        <v>0.21075963765119998</v>
      </c>
      <c r="V12">
        <f>U4*V4*W4*X4*Y4*Z4*AA4*AB4</f>
        <v>0.10644426143999999</v>
      </c>
      <c r="W12">
        <f>U5*V5*W5*X5*Y5*Z5*AA5*AB5</f>
        <v>5.3759728E-2</v>
      </c>
      <c r="X12">
        <f>U6*V6*W6*X6*Y6*Z6*AA6*AB6</f>
        <v>2.7711200000000002E-2</v>
      </c>
      <c r="Y12">
        <f>U7*V7*W7*X7*Y7*Z7*AA7*AB7</f>
        <v>1.4740000000000001E-2</v>
      </c>
      <c r="Z12">
        <f>U8*V8*W8*X8*Y8*Z8*AA8*AB8</f>
        <v>8.3750000000000005E-3</v>
      </c>
      <c r="AA12">
        <f>U9*V9*W9*X9*Y9*Z9*AA9*AB9</f>
        <v>5.2343750000000003E-3</v>
      </c>
      <c r="AB12">
        <f>U10*V10*W10*X10*Y10*Z10*AA10*AB10</f>
        <v>3.90625E-3</v>
      </c>
    </row>
    <row r="13" spans="1:29" x14ac:dyDescent="0.25">
      <c r="A13">
        <f>POWER(A12,1/5)</f>
        <v>0.32987697769322361</v>
      </c>
      <c r="B13">
        <f t="shared" ref="B13:H13" si="0">POWER(B12,1/5)</f>
        <v>0.30357135844360966</v>
      </c>
      <c r="C13">
        <f t="shared" si="0"/>
        <v>0.25273930814757095</v>
      </c>
      <c r="D13">
        <f t="shared" si="0"/>
        <v>0.18998313095870198</v>
      </c>
      <c r="E13">
        <f t="shared" si="0"/>
        <v>0.12432294516719117</v>
      </c>
      <c r="F13">
        <f t="shared" si="0"/>
        <v>7.0824177548218153E-2</v>
      </c>
      <c r="G13">
        <f t="shared" si="0"/>
        <v>3.2388254191398076E-2</v>
      </c>
      <c r="H13">
        <f t="shared" si="0"/>
        <v>1.1889655939190303E-2</v>
      </c>
      <c r="I13">
        <v>0</v>
      </c>
      <c r="K13">
        <f>POWER(K12,1/5)</f>
        <v>0.63332661893556796</v>
      </c>
      <c r="L13">
        <f t="shared" ref="L13:R13" si="1">POWER(L12,1/5)</f>
        <v>0.53384375852601706</v>
      </c>
      <c r="M13">
        <f t="shared" si="1"/>
        <v>0.42946615380501524</v>
      </c>
      <c r="N13">
        <f t="shared" si="1"/>
        <v>0.32838096560670299</v>
      </c>
      <c r="O13">
        <f t="shared" si="1"/>
        <v>0.2356926909698138</v>
      </c>
      <c r="P13">
        <f t="shared" si="1"/>
        <v>0.16251154496130843</v>
      </c>
      <c r="Q13">
        <f t="shared" si="1"/>
        <v>0.10561665245879612</v>
      </c>
      <c r="R13">
        <f t="shared" si="1"/>
        <v>6.6639602568289477E-2</v>
      </c>
      <c r="U13">
        <f>POWER(U12,1/5)</f>
        <v>0.73241543593472846</v>
      </c>
      <c r="V13">
        <f t="shared" ref="V13:AB13" si="2">POWER(V12,1/5)</f>
        <v>0.63888758747832575</v>
      </c>
      <c r="W13">
        <f t="shared" si="2"/>
        <v>0.55730304060693137</v>
      </c>
      <c r="X13">
        <f t="shared" si="2"/>
        <v>0.48812501723685037</v>
      </c>
      <c r="Y13">
        <f t="shared" si="2"/>
        <v>0.43022881735473339</v>
      </c>
      <c r="Z13">
        <f t="shared" si="2"/>
        <v>0.38423503617819688</v>
      </c>
      <c r="AA13">
        <f t="shared" si="2"/>
        <v>0.34976227620722805</v>
      </c>
      <c r="AB13">
        <f t="shared" si="2"/>
        <v>0.32987697769322361</v>
      </c>
    </row>
    <row r="14" spans="1:29" x14ac:dyDescent="0.25">
      <c r="I14">
        <f>SUM(A13:I13)</f>
        <v>1.3155958080891039</v>
      </c>
      <c r="S14">
        <f>SUM(K13:S13)</f>
        <v>2.495477987831511</v>
      </c>
      <c r="AC14">
        <f>SUM(U13:AB13)</f>
        <v>3.9108341886902176</v>
      </c>
    </row>
    <row r="15" spans="1:29" x14ac:dyDescent="0.25">
      <c r="A15">
        <f>A13/$AC$14</f>
        <v>8.4349517718546665E-2</v>
      </c>
      <c r="B15">
        <f t="shared" ref="B15:H15" si="3">B13/$AC$14</f>
        <v>7.7623172908099974E-2</v>
      </c>
      <c r="C15">
        <f t="shared" si="3"/>
        <v>6.4625421573348829E-2</v>
      </c>
      <c r="D15">
        <f t="shared" si="3"/>
        <v>4.8578671913045095E-2</v>
      </c>
      <c r="E15">
        <f t="shared" si="3"/>
        <v>3.1789367477333096E-2</v>
      </c>
      <c r="F15">
        <f t="shared" si="3"/>
        <v>1.8109736729068016E-2</v>
      </c>
      <c r="G15">
        <f t="shared" si="3"/>
        <v>8.2816740952766574E-3</v>
      </c>
      <c r="H15">
        <f t="shared" si="3"/>
        <v>3.0401841053691622E-3</v>
      </c>
      <c r="K15">
        <f>K13/$S$14</f>
        <v>0.25378970362543979</v>
      </c>
      <c r="L15">
        <f>L13/$S$14</f>
        <v>0.21392445099862809</v>
      </c>
      <c r="M15">
        <f>M13/$S$14</f>
        <v>0.17209775277489317</v>
      </c>
      <c r="N15">
        <f>N13/$S$14</f>
        <v>0.1315904076124732</v>
      </c>
      <c r="O15">
        <f>O13/$S$14</f>
        <v>9.4447914234908989E-2</v>
      </c>
      <c r="P15">
        <f t="shared" ref="P15:R15" si="4">P13/$S$14</f>
        <v>6.5122411719818724E-2</v>
      </c>
      <c r="Q15">
        <f t="shared" si="4"/>
        <v>4.2323215421576826E-2</v>
      </c>
      <c r="R15">
        <f t="shared" si="4"/>
        <v>2.670414361226128E-2</v>
      </c>
      <c r="U15">
        <f>U13/$I$14</f>
        <v>0.55671767227546742</v>
      </c>
      <c r="V15">
        <f t="shared" ref="V15:AB15" si="5">V13/$I$14</f>
        <v>0.48562604376666924</v>
      </c>
      <c r="W15">
        <f t="shared" si="5"/>
        <v>0.4236126606517629</v>
      </c>
      <c r="X15">
        <f t="shared" si="5"/>
        <v>0.3710296234113496</v>
      </c>
      <c r="Y15">
        <f t="shared" si="5"/>
        <v>0.32702203420641673</v>
      </c>
      <c r="Z15">
        <f t="shared" si="5"/>
        <v>0.29206161483312743</v>
      </c>
      <c r="AA15">
        <f t="shared" si="5"/>
        <v>0.26585846052159129</v>
      </c>
      <c r="AB15">
        <f t="shared" si="5"/>
        <v>0.25074340892919705</v>
      </c>
    </row>
    <row r="17" spans="1:11" x14ac:dyDescent="0.25">
      <c r="A17" s="38" t="s">
        <v>85</v>
      </c>
      <c r="B17" s="38"/>
      <c r="C17" s="38"/>
      <c r="D17" s="38"/>
      <c r="E17" s="38"/>
    </row>
    <row r="18" spans="1:11" x14ac:dyDescent="0.25">
      <c r="A18" t="s">
        <v>3</v>
      </c>
      <c r="B18" s="8">
        <f>A15</f>
        <v>8.4349517718546665E-2</v>
      </c>
      <c r="C18" s="9">
        <f>K15</f>
        <v>0.25378970362543979</v>
      </c>
      <c r="D18" s="8">
        <f>U15</f>
        <v>0.55671767227546742</v>
      </c>
      <c r="F18" s="10"/>
      <c r="I18" s="11"/>
      <c r="J18" s="11"/>
      <c r="K18" s="11"/>
    </row>
    <row r="19" spans="1:11" x14ac:dyDescent="0.25">
      <c r="A19" t="s">
        <v>4</v>
      </c>
      <c r="B19" s="8">
        <f>B15</f>
        <v>7.7623172908099974E-2</v>
      </c>
      <c r="C19" s="9">
        <f>L15</f>
        <v>0.21392445099862809</v>
      </c>
      <c r="D19" s="8">
        <f>V15</f>
        <v>0.48562604376666924</v>
      </c>
      <c r="F19" s="10"/>
      <c r="I19" s="11"/>
      <c r="J19" s="11"/>
      <c r="K19" s="11"/>
    </row>
    <row r="20" spans="1:11" x14ac:dyDescent="0.25">
      <c r="A20" t="s">
        <v>5</v>
      </c>
      <c r="B20" s="8">
        <f>C15</f>
        <v>6.4625421573348829E-2</v>
      </c>
      <c r="C20" s="9">
        <f>M15</f>
        <v>0.17209775277489317</v>
      </c>
      <c r="D20" s="8">
        <f>W15</f>
        <v>0.4236126606517629</v>
      </c>
      <c r="F20" s="10"/>
      <c r="I20" s="11"/>
      <c r="J20" s="11"/>
      <c r="K20" s="11"/>
    </row>
    <row r="21" spans="1:11" x14ac:dyDescent="0.25">
      <c r="A21" t="s">
        <v>6</v>
      </c>
      <c r="B21" s="8">
        <f>D15</f>
        <v>4.8578671913045095E-2</v>
      </c>
      <c r="C21" s="9">
        <f>N15</f>
        <v>0.1315904076124732</v>
      </c>
      <c r="D21" s="8">
        <f>X15</f>
        <v>0.3710296234113496</v>
      </c>
      <c r="F21" s="10"/>
      <c r="I21" s="11"/>
      <c r="J21" s="11"/>
      <c r="K21" s="11"/>
    </row>
    <row r="22" spans="1:11" x14ac:dyDescent="0.25">
      <c r="A22" t="s">
        <v>7</v>
      </c>
      <c r="B22" s="8">
        <f>E15</f>
        <v>3.1789367477333096E-2</v>
      </c>
      <c r="C22" s="9">
        <f>O15</f>
        <v>9.4447914234908989E-2</v>
      </c>
      <c r="D22" s="8">
        <f>Y15</f>
        <v>0.32702203420641673</v>
      </c>
      <c r="F22" s="10"/>
      <c r="I22" s="11"/>
      <c r="J22" s="11"/>
      <c r="K22" s="11"/>
    </row>
    <row r="23" spans="1:11" x14ac:dyDescent="0.25">
      <c r="A23" t="s">
        <v>8</v>
      </c>
      <c r="B23" s="8">
        <f>F15</f>
        <v>1.8109736729068016E-2</v>
      </c>
      <c r="C23" s="9">
        <f>P15</f>
        <v>6.5122411719818724E-2</v>
      </c>
      <c r="D23" s="8">
        <f>Z15</f>
        <v>0.29206161483312743</v>
      </c>
      <c r="F23" s="10"/>
    </row>
    <row r="24" spans="1:11" x14ac:dyDescent="0.25">
      <c r="A24" t="s">
        <v>9</v>
      </c>
      <c r="B24" s="8">
        <f>G15</f>
        <v>8.2816740952766574E-3</v>
      </c>
      <c r="C24" s="9">
        <f>Q15</f>
        <v>4.2323215421576826E-2</v>
      </c>
      <c r="D24" s="8">
        <f>AA15</f>
        <v>0.26585846052159129</v>
      </c>
      <c r="F24" s="10"/>
    </row>
    <row r="25" spans="1:11" x14ac:dyDescent="0.25">
      <c r="A25" t="s">
        <v>10</v>
      </c>
      <c r="B25" s="8">
        <f>H15</f>
        <v>3.0401841053691622E-3</v>
      </c>
      <c r="C25" s="9">
        <f>R15</f>
        <v>2.670414361226128E-2</v>
      </c>
      <c r="D25" s="8">
        <f>AB15</f>
        <v>0.25074340892919705</v>
      </c>
      <c r="F25" s="10"/>
    </row>
    <row r="26" spans="1:11" x14ac:dyDescent="0.25">
      <c r="C26" s="10"/>
      <c r="D26" s="10"/>
    </row>
  </sheetData>
  <mergeCells count="5">
    <mergeCell ref="A2:I2"/>
    <mergeCell ref="K2:S2"/>
    <mergeCell ref="U2:Z2"/>
    <mergeCell ref="G11:L11"/>
    <mergeCell ref="G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1D8D-8794-4876-BB76-076BBBE28AC8}">
  <dimension ref="A1:AW11"/>
  <sheetViews>
    <sheetView workbookViewId="0">
      <selection activeCell="W2" sqref="W2"/>
    </sheetView>
  </sheetViews>
  <sheetFormatPr defaultRowHeight="15" x14ac:dyDescent="0.25"/>
  <sheetData>
    <row r="1" spans="1:49" x14ac:dyDescent="0.25">
      <c r="C1" s="41" t="s">
        <v>79</v>
      </c>
      <c r="D1" s="41"/>
      <c r="E1" s="41"/>
      <c r="F1" s="41"/>
      <c r="G1" s="41"/>
      <c r="O1" s="41" t="s">
        <v>11</v>
      </c>
      <c r="P1" s="41"/>
      <c r="Q1" s="41"/>
      <c r="W1" s="41" t="s">
        <v>84</v>
      </c>
      <c r="X1" s="41"/>
      <c r="Y1" s="41"/>
      <c r="Z1" s="41"/>
      <c r="AA1" s="41"/>
      <c r="AB1" s="41"/>
      <c r="AC1" s="41"/>
      <c r="AG1" s="41" t="s">
        <v>12</v>
      </c>
      <c r="AH1" s="41"/>
      <c r="AI1" s="41"/>
      <c r="AQ1" s="41" t="s">
        <v>13</v>
      </c>
      <c r="AR1" s="41"/>
      <c r="AS1" s="41"/>
    </row>
    <row r="2" spans="1:49" ht="48" x14ac:dyDescent="0.25">
      <c r="A2" s="12" t="s">
        <v>14</v>
      </c>
      <c r="B2" s="12" t="s">
        <v>15</v>
      </c>
      <c r="C2" s="12" t="s">
        <v>16</v>
      </c>
      <c r="D2" s="12" t="s">
        <v>17</v>
      </c>
      <c r="E2" s="12" t="s">
        <v>18</v>
      </c>
      <c r="F2" s="12" t="s">
        <v>19</v>
      </c>
      <c r="G2" s="12" t="s">
        <v>20</v>
      </c>
      <c r="H2" s="12" t="s">
        <v>21</v>
      </c>
      <c r="I2" s="12" t="s">
        <v>22</v>
      </c>
      <c r="J2" s="12" t="s">
        <v>23</v>
      </c>
      <c r="K2" s="13"/>
      <c r="M2" s="12" t="s">
        <v>16</v>
      </c>
      <c r="N2" s="12" t="s">
        <v>17</v>
      </c>
      <c r="O2" s="12" t="s">
        <v>18</v>
      </c>
      <c r="P2" s="12" t="s">
        <v>19</v>
      </c>
      <c r="Q2" s="12" t="s">
        <v>20</v>
      </c>
      <c r="R2" s="12" t="s">
        <v>21</v>
      </c>
      <c r="S2" s="12" t="s">
        <v>22</v>
      </c>
      <c r="T2" s="12" t="s">
        <v>23</v>
      </c>
      <c r="V2" s="12" t="s">
        <v>16</v>
      </c>
      <c r="W2" s="12" t="s">
        <v>17</v>
      </c>
      <c r="X2" s="12" t="s">
        <v>18</v>
      </c>
      <c r="Y2" s="12" t="s">
        <v>19</v>
      </c>
      <c r="Z2" s="12" t="s">
        <v>20</v>
      </c>
      <c r="AA2" s="12" t="s">
        <v>21</v>
      </c>
      <c r="AB2" s="12" t="s">
        <v>22</v>
      </c>
      <c r="AC2" s="12" t="s">
        <v>23</v>
      </c>
      <c r="AE2" s="12" t="s">
        <v>16</v>
      </c>
      <c r="AF2" s="12" t="s">
        <v>17</v>
      </c>
      <c r="AG2" s="12" t="s">
        <v>18</v>
      </c>
      <c r="AH2" s="12" t="s">
        <v>19</v>
      </c>
      <c r="AI2" s="12" t="s">
        <v>20</v>
      </c>
      <c r="AJ2" s="12" t="s">
        <v>21</v>
      </c>
      <c r="AK2" s="12" t="s">
        <v>22</v>
      </c>
      <c r="AL2" s="12" t="s">
        <v>23</v>
      </c>
      <c r="AN2" s="12" t="s">
        <v>16</v>
      </c>
      <c r="AO2" s="12" t="s">
        <v>17</v>
      </c>
      <c r="AP2" s="12" t="s">
        <v>18</v>
      </c>
      <c r="AQ2" s="12" t="s">
        <v>19</v>
      </c>
      <c r="AR2" s="12" t="s">
        <v>20</v>
      </c>
      <c r="AS2" s="12" t="s">
        <v>21</v>
      </c>
      <c r="AT2" s="12" t="s">
        <v>22</v>
      </c>
      <c r="AU2" s="12" t="s">
        <v>23</v>
      </c>
    </row>
    <row r="3" spans="1:49" x14ac:dyDescent="0.25">
      <c r="A3" s="12">
        <v>2020</v>
      </c>
      <c r="B3" s="14" t="s">
        <v>24</v>
      </c>
      <c r="C3" s="14">
        <v>27.2</v>
      </c>
      <c r="D3" s="14" t="s">
        <v>25</v>
      </c>
      <c r="E3" s="14" t="s">
        <v>26</v>
      </c>
      <c r="F3" s="14">
        <v>31.1</v>
      </c>
      <c r="G3" s="14">
        <v>16.5</v>
      </c>
      <c r="H3" s="14" t="s">
        <v>27</v>
      </c>
      <c r="I3" s="14" t="s">
        <v>28</v>
      </c>
      <c r="J3" s="14" t="s">
        <v>29</v>
      </c>
      <c r="K3" s="14"/>
      <c r="M3" s="14">
        <f t="shared" ref="M3:M8" si="0">ABS(C3-100)</f>
        <v>72.8</v>
      </c>
      <c r="N3" s="14">
        <v>32.1</v>
      </c>
      <c r="O3" s="14">
        <v>55.4</v>
      </c>
      <c r="P3" s="15">
        <v>68.900000000000006</v>
      </c>
      <c r="Q3" s="15">
        <v>23.5</v>
      </c>
      <c r="R3" s="15">
        <v>260</v>
      </c>
      <c r="S3" s="15">
        <v>23.7</v>
      </c>
      <c r="T3" s="14">
        <v>8.6</v>
      </c>
      <c r="V3">
        <f t="shared" ref="V3:AC8" si="1">-0.17*(M3/M$9)*LN((M3/M$9))</f>
        <v>5.2205822819423105E-2</v>
      </c>
      <c r="W3">
        <f t="shared" si="1"/>
        <v>5.0988625054226487E-2</v>
      </c>
      <c r="X3">
        <f t="shared" si="1"/>
        <v>5.1663363868468211E-2</v>
      </c>
      <c r="Y3">
        <f t="shared" si="1"/>
        <v>5.0440525142799342E-2</v>
      </c>
      <c r="Z3">
        <f t="shared" si="1"/>
        <v>5.0059015694284739E-2</v>
      </c>
      <c r="AA3">
        <f t="shared" si="1"/>
        <v>5.0755016271506359E-2</v>
      </c>
      <c r="AB3">
        <f t="shared" si="1"/>
        <v>4.8478110367376724E-2</v>
      </c>
      <c r="AC3">
        <f t="shared" si="1"/>
        <v>5.0766518294794893E-2</v>
      </c>
      <c r="AE3">
        <f t="shared" ref="AE3:AL8" si="2">1-V3</f>
        <v>0.9477941771805769</v>
      </c>
      <c r="AF3">
        <f t="shared" si="2"/>
        <v>0.94901137494577348</v>
      </c>
      <c r="AG3">
        <f t="shared" si="2"/>
        <v>0.94833663613153174</v>
      </c>
      <c r="AH3">
        <f t="shared" si="2"/>
        <v>0.94955947485720071</v>
      </c>
      <c r="AI3">
        <f t="shared" si="2"/>
        <v>0.94994098430571527</v>
      </c>
      <c r="AJ3">
        <f t="shared" si="2"/>
        <v>0.94924498372849364</v>
      </c>
      <c r="AK3">
        <f t="shared" si="2"/>
        <v>0.9515218896326233</v>
      </c>
      <c r="AL3">
        <f t="shared" si="2"/>
        <v>0.94923348170520505</v>
      </c>
      <c r="AN3">
        <f t="shared" ref="AN3:AU8" si="3">AE3/AE$9</f>
        <v>0.16638471515974632</v>
      </c>
      <c r="AO3">
        <f t="shared" si="3"/>
        <v>0.16662754252746895</v>
      </c>
      <c r="AP3">
        <f t="shared" si="3"/>
        <v>0.16650660615292462</v>
      </c>
      <c r="AQ3">
        <f t="shared" si="3"/>
        <v>0.16672343912677295</v>
      </c>
      <c r="AR3">
        <f t="shared" si="3"/>
        <v>0.16678394783956565</v>
      </c>
      <c r="AS3">
        <f t="shared" si="3"/>
        <v>0.16666868403051419</v>
      </c>
      <c r="AT3">
        <f t="shared" si="3"/>
        <v>0.16706164795781522</v>
      </c>
      <c r="AU3">
        <f t="shared" si="3"/>
        <v>0.16666666666666666</v>
      </c>
      <c r="AW3" s="9"/>
    </row>
    <row r="4" spans="1:49" x14ac:dyDescent="0.25">
      <c r="A4" s="12">
        <v>2021</v>
      </c>
      <c r="B4" s="14" t="s">
        <v>30</v>
      </c>
      <c r="C4" s="14">
        <v>23.1</v>
      </c>
      <c r="D4" s="14" t="s">
        <v>31</v>
      </c>
      <c r="E4" s="14" t="s">
        <v>26</v>
      </c>
      <c r="F4" s="14">
        <v>30</v>
      </c>
      <c r="G4" s="14">
        <v>17.600000000000001</v>
      </c>
      <c r="H4" s="14" t="s">
        <v>27</v>
      </c>
      <c r="I4" s="14" t="s">
        <v>32</v>
      </c>
      <c r="J4" s="14" t="s">
        <v>29</v>
      </c>
      <c r="K4" s="14"/>
      <c r="M4" s="14">
        <f t="shared" si="0"/>
        <v>76.900000000000006</v>
      </c>
      <c r="N4" s="14">
        <v>32</v>
      </c>
      <c r="O4" s="14">
        <v>55.4</v>
      </c>
      <c r="P4" s="15">
        <v>70</v>
      </c>
      <c r="Q4" s="15">
        <v>22.4</v>
      </c>
      <c r="R4" s="15">
        <v>260</v>
      </c>
      <c r="S4" s="15">
        <v>25.7</v>
      </c>
      <c r="T4" s="14">
        <v>8.6</v>
      </c>
      <c r="V4">
        <f t="shared" si="1"/>
        <v>5.3396428904403812E-2</v>
      </c>
      <c r="W4">
        <f t="shared" si="1"/>
        <v>5.0918788239895957E-2</v>
      </c>
      <c r="X4">
        <f t="shared" si="1"/>
        <v>5.1663363868468211E-2</v>
      </c>
      <c r="Y4">
        <f t="shared" si="1"/>
        <v>5.0796443901291073E-2</v>
      </c>
      <c r="Z4">
        <f t="shared" si="1"/>
        <v>4.8970490766145056E-2</v>
      </c>
      <c r="AA4">
        <f t="shared" si="1"/>
        <v>5.0755016271506359E-2</v>
      </c>
      <c r="AB4">
        <f t="shared" si="1"/>
        <v>5.0318876170085187E-2</v>
      </c>
      <c r="AC4">
        <f t="shared" si="1"/>
        <v>5.0766518294794893E-2</v>
      </c>
      <c r="AE4">
        <f t="shared" si="2"/>
        <v>0.94660357109559623</v>
      </c>
      <c r="AF4">
        <f t="shared" si="2"/>
        <v>0.94908121176010407</v>
      </c>
      <c r="AG4">
        <f t="shared" si="2"/>
        <v>0.94833663613153174</v>
      </c>
      <c r="AH4">
        <f t="shared" si="2"/>
        <v>0.94920355609870888</v>
      </c>
      <c r="AI4">
        <f t="shared" si="2"/>
        <v>0.95102950923385499</v>
      </c>
      <c r="AJ4">
        <f t="shared" si="2"/>
        <v>0.94924498372849364</v>
      </c>
      <c r="AK4">
        <f t="shared" si="2"/>
        <v>0.94968112382991476</v>
      </c>
      <c r="AL4">
        <f t="shared" si="2"/>
        <v>0.94923348170520505</v>
      </c>
      <c r="AN4">
        <f t="shared" si="3"/>
        <v>0.16617570495575215</v>
      </c>
      <c r="AO4">
        <f t="shared" si="3"/>
        <v>0.16663980448455087</v>
      </c>
      <c r="AP4">
        <f t="shared" si="3"/>
        <v>0.16650660615292462</v>
      </c>
      <c r="AQ4">
        <f t="shared" si="3"/>
        <v>0.16666094699117037</v>
      </c>
      <c r="AR4">
        <f t="shared" si="3"/>
        <v>0.16697506338025328</v>
      </c>
      <c r="AS4">
        <f t="shared" si="3"/>
        <v>0.16666868403051419</v>
      </c>
      <c r="AT4">
        <f t="shared" si="3"/>
        <v>0.16673845899931042</v>
      </c>
      <c r="AU4">
        <f t="shared" si="3"/>
        <v>0.16666666666666666</v>
      </c>
      <c r="AW4" s="9"/>
    </row>
    <row r="5" spans="1:49" x14ac:dyDescent="0.25">
      <c r="A5" s="12">
        <v>2022</v>
      </c>
      <c r="B5" s="14" t="s">
        <v>33</v>
      </c>
      <c r="C5" s="14">
        <v>29.4</v>
      </c>
      <c r="D5" s="14" t="s">
        <v>34</v>
      </c>
      <c r="E5" s="14" t="s">
        <v>35</v>
      </c>
      <c r="F5" s="14">
        <v>28.3</v>
      </c>
      <c r="G5" s="14">
        <v>14.1</v>
      </c>
      <c r="H5" s="14" t="s">
        <v>36</v>
      </c>
      <c r="I5" s="14" t="s">
        <v>37</v>
      </c>
      <c r="J5" s="14" t="s">
        <v>29</v>
      </c>
      <c r="K5" s="14"/>
      <c r="M5" s="14">
        <f t="shared" si="0"/>
        <v>70.599999999999994</v>
      </c>
      <c r="N5" s="14">
        <v>31.7</v>
      </c>
      <c r="O5" s="14">
        <v>53.4</v>
      </c>
      <c r="P5" s="15">
        <v>71.7</v>
      </c>
      <c r="Q5" s="15">
        <v>25.9</v>
      </c>
      <c r="R5" s="15">
        <v>260.39999999999998</v>
      </c>
      <c r="S5" s="15">
        <v>26</v>
      </c>
      <c r="T5" s="14">
        <v>8.6</v>
      </c>
      <c r="V5">
        <f t="shared" si="1"/>
        <v>5.1527761772822103E-2</v>
      </c>
      <c r="W5">
        <f t="shared" si="1"/>
        <v>5.0707602822003109E-2</v>
      </c>
      <c r="X5">
        <f t="shared" si="1"/>
        <v>5.0843633483821316E-2</v>
      </c>
      <c r="Y5">
        <f t="shared" si="1"/>
        <v>5.1332758222603775E-2</v>
      </c>
      <c r="Z5">
        <f t="shared" si="1"/>
        <v>5.2228752701995611E-2</v>
      </c>
      <c r="AA5">
        <f t="shared" si="1"/>
        <v>5.0789500014378916E-2</v>
      </c>
      <c r="AB5">
        <f t="shared" si="1"/>
        <v>5.0580149792936784E-2</v>
      </c>
      <c r="AC5">
        <f t="shared" si="1"/>
        <v>5.0766518294794893E-2</v>
      </c>
      <c r="AE5">
        <f t="shared" si="2"/>
        <v>0.94847223822717786</v>
      </c>
      <c r="AF5">
        <f t="shared" si="2"/>
        <v>0.94929239717799685</v>
      </c>
      <c r="AG5">
        <f t="shared" si="2"/>
        <v>0.94915636651617863</v>
      </c>
      <c r="AH5">
        <f t="shared" si="2"/>
        <v>0.94866724177739625</v>
      </c>
      <c r="AI5">
        <f t="shared" si="2"/>
        <v>0.94777124729800444</v>
      </c>
      <c r="AJ5">
        <f t="shared" si="2"/>
        <v>0.94921049998562113</v>
      </c>
      <c r="AK5">
        <f t="shared" si="2"/>
        <v>0.94941985020706321</v>
      </c>
      <c r="AL5">
        <f t="shared" si="2"/>
        <v>0.94923348170520505</v>
      </c>
      <c r="AN5">
        <f t="shared" si="3"/>
        <v>0.16650374838111007</v>
      </c>
      <c r="AO5">
        <f t="shared" si="3"/>
        <v>0.16667688444811099</v>
      </c>
      <c r="AP5">
        <f t="shared" si="3"/>
        <v>0.16665053239083183</v>
      </c>
      <c r="AQ5">
        <f t="shared" si="3"/>
        <v>0.16656678104320211</v>
      </c>
      <c r="AR5">
        <f t="shared" si="3"/>
        <v>0.1664030006966396</v>
      </c>
      <c r="AS5">
        <f t="shared" si="3"/>
        <v>0.16666262936586645</v>
      </c>
      <c r="AT5">
        <f t="shared" si="3"/>
        <v>0.16669258637937695</v>
      </c>
      <c r="AU5">
        <f t="shared" si="3"/>
        <v>0.16666666666666666</v>
      </c>
      <c r="AW5" s="9"/>
    </row>
    <row r="6" spans="1:49" x14ac:dyDescent="0.25">
      <c r="A6" s="12">
        <v>2023</v>
      </c>
      <c r="B6" s="14" t="s">
        <v>38</v>
      </c>
      <c r="C6" s="14">
        <v>28.6</v>
      </c>
      <c r="D6" s="14" t="s">
        <v>34</v>
      </c>
      <c r="E6" s="14" t="s">
        <v>39</v>
      </c>
      <c r="F6" s="14">
        <v>30.06</v>
      </c>
      <c r="G6" s="14">
        <v>14.7</v>
      </c>
      <c r="H6" s="14" t="s">
        <v>40</v>
      </c>
      <c r="I6" s="14" t="s">
        <v>41</v>
      </c>
      <c r="J6" s="14" t="s">
        <v>29</v>
      </c>
      <c r="K6" s="14"/>
      <c r="M6" s="14">
        <f t="shared" si="0"/>
        <v>71.400000000000006</v>
      </c>
      <c r="N6" s="14">
        <v>31.7</v>
      </c>
      <c r="O6" s="14">
        <v>52.5</v>
      </c>
      <c r="P6" s="15">
        <v>69.94</v>
      </c>
      <c r="Q6" s="15">
        <v>25.3</v>
      </c>
      <c r="R6" s="15">
        <v>260.5</v>
      </c>
      <c r="S6" s="15">
        <v>26.6</v>
      </c>
      <c r="T6" s="14">
        <v>8.6</v>
      </c>
      <c r="V6">
        <f t="shared" si="1"/>
        <v>5.1777577258220513E-2</v>
      </c>
      <c r="W6">
        <f t="shared" si="1"/>
        <v>5.0707602822003109E-2</v>
      </c>
      <c r="X6">
        <f t="shared" si="1"/>
        <v>5.0461830649386752E-2</v>
      </c>
      <c r="Y6">
        <f t="shared" si="1"/>
        <v>5.0777211805664808E-2</v>
      </c>
      <c r="Z6">
        <f t="shared" si="1"/>
        <v>5.1711667645818492E-2</v>
      </c>
      <c r="AA6">
        <f t="shared" si="1"/>
        <v>5.0798110489232468E-2</v>
      </c>
      <c r="AB6">
        <f t="shared" si="1"/>
        <v>5.1091516422877868E-2</v>
      </c>
      <c r="AC6">
        <f t="shared" si="1"/>
        <v>5.0766518294794893E-2</v>
      </c>
      <c r="AE6">
        <f t="shared" si="2"/>
        <v>0.94822242274177948</v>
      </c>
      <c r="AF6">
        <f t="shared" si="2"/>
        <v>0.94929239717799685</v>
      </c>
      <c r="AG6">
        <f t="shared" si="2"/>
        <v>0.9495381693506133</v>
      </c>
      <c r="AH6">
        <f t="shared" si="2"/>
        <v>0.94922278819433514</v>
      </c>
      <c r="AI6">
        <f t="shared" si="2"/>
        <v>0.94828833235418153</v>
      </c>
      <c r="AJ6">
        <f t="shared" si="2"/>
        <v>0.94920188951076756</v>
      </c>
      <c r="AK6">
        <f t="shared" si="2"/>
        <v>0.9489084835771221</v>
      </c>
      <c r="AL6">
        <f t="shared" si="2"/>
        <v>0.94923348170520505</v>
      </c>
      <c r="AN6">
        <f t="shared" si="3"/>
        <v>0.16645989341831197</v>
      </c>
      <c r="AO6">
        <f t="shared" si="3"/>
        <v>0.16667688444811099</v>
      </c>
      <c r="AP6">
        <f t="shared" si="3"/>
        <v>0.16671756839024299</v>
      </c>
      <c r="AQ6">
        <f t="shared" si="3"/>
        <v>0.1666643237581969</v>
      </c>
      <c r="AR6">
        <f t="shared" si="3"/>
        <v>0.16649378684910895</v>
      </c>
      <c r="AS6">
        <f t="shared" si="3"/>
        <v>0.16666111753642587</v>
      </c>
      <c r="AT6">
        <f t="shared" si="3"/>
        <v>0.16660280415488019</v>
      </c>
      <c r="AU6">
        <f t="shared" si="3"/>
        <v>0.16666666666666666</v>
      </c>
      <c r="AW6" s="9"/>
    </row>
    <row r="7" spans="1:49" x14ac:dyDescent="0.25">
      <c r="A7" s="12">
        <v>2024</v>
      </c>
      <c r="B7" s="14" t="s">
        <v>42</v>
      </c>
      <c r="C7" s="14">
        <v>37.200000000000003</v>
      </c>
      <c r="D7" s="14" t="s">
        <v>43</v>
      </c>
      <c r="E7" s="14" t="s">
        <v>44</v>
      </c>
      <c r="F7" s="14">
        <v>31.2</v>
      </c>
      <c r="G7" s="14">
        <v>14.8</v>
      </c>
      <c r="H7" s="14" t="s">
        <v>45</v>
      </c>
      <c r="I7" s="14" t="s">
        <v>46</v>
      </c>
      <c r="J7" s="14" t="s">
        <v>29</v>
      </c>
      <c r="K7" s="14"/>
      <c r="M7" s="14">
        <f t="shared" si="0"/>
        <v>62.8</v>
      </c>
      <c r="N7" s="14">
        <v>31.4</v>
      </c>
      <c r="O7" s="14">
        <v>51.7</v>
      </c>
      <c r="P7" s="15">
        <v>68.8</v>
      </c>
      <c r="Q7" s="15">
        <v>25.2</v>
      </c>
      <c r="R7" s="15">
        <v>260.10000000000002</v>
      </c>
      <c r="S7" s="15">
        <v>27.3</v>
      </c>
      <c r="T7" s="14">
        <v>8.6</v>
      </c>
      <c r="V7">
        <f t="shared" si="1"/>
        <v>4.8887881326241854E-2</v>
      </c>
      <c r="W7">
        <f t="shared" si="1"/>
        <v>5.0493886428509598E-2</v>
      </c>
      <c r="X7">
        <f t="shared" si="1"/>
        <v>5.0115558389338045E-2</v>
      </c>
      <c r="Y7">
        <f t="shared" si="1"/>
        <v>5.0407817637633419E-2</v>
      </c>
      <c r="Z7">
        <f t="shared" si="1"/>
        <v>5.1623880979597407E-2</v>
      </c>
      <c r="AA7">
        <f t="shared" si="1"/>
        <v>5.0763643486959505E-2</v>
      </c>
      <c r="AB7">
        <f t="shared" si="1"/>
        <v>5.1669645827336741E-2</v>
      </c>
      <c r="AC7">
        <f t="shared" si="1"/>
        <v>5.0766518294794893E-2</v>
      </c>
      <c r="AE7">
        <f t="shared" si="2"/>
        <v>0.95111211867375811</v>
      </c>
      <c r="AF7">
        <f t="shared" si="2"/>
        <v>0.9495061135714904</v>
      </c>
      <c r="AG7">
        <f t="shared" si="2"/>
        <v>0.94988444161066199</v>
      </c>
      <c r="AH7">
        <f t="shared" si="2"/>
        <v>0.94959218236236653</v>
      </c>
      <c r="AI7">
        <f t="shared" si="2"/>
        <v>0.94837611902040264</v>
      </c>
      <c r="AJ7">
        <f t="shared" si="2"/>
        <v>0.9492363565130405</v>
      </c>
      <c r="AK7">
        <f t="shared" si="2"/>
        <v>0.94833035417266331</v>
      </c>
      <c r="AL7">
        <f t="shared" si="2"/>
        <v>0.94923348170520505</v>
      </c>
      <c r="AN7">
        <f t="shared" si="3"/>
        <v>0.16696717785423326</v>
      </c>
      <c r="AO7">
        <f t="shared" si="3"/>
        <v>0.16671440880070129</v>
      </c>
      <c r="AP7">
        <f t="shared" si="3"/>
        <v>0.16677836601909005</v>
      </c>
      <c r="AQ7">
        <f t="shared" si="3"/>
        <v>0.16672918190317706</v>
      </c>
      <c r="AR7">
        <f t="shared" si="3"/>
        <v>0.16650919981370563</v>
      </c>
      <c r="AS7">
        <f t="shared" si="3"/>
        <v>0.16666716926175473</v>
      </c>
      <c r="AT7">
        <f t="shared" si="3"/>
        <v>0.16650130018309131</v>
      </c>
      <c r="AU7">
        <f t="shared" si="3"/>
        <v>0.16666666666666666</v>
      </c>
      <c r="AW7" s="9"/>
    </row>
    <row r="8" spans="1:49" x14ac:dyDescent="0.25">
      <c r="A8" s="12">
        <v>2025</v>
      </c>
      <c r="B8" s="14" t="s">
        <v>47</v>
      </c>
      <c r="C8" s="14">
        <v>45.1</v>
      </c>
      <c r="D8" s="14" t="s">
        <v>48</v>
      </c>
      <c r="E8" s="14" t="s">
        <v>49</v>
      </c>
      <c r="F8" s="14">
        <v>29.3</v>
      </c>
      <c r="G8" s="14">
        <v>16.8</v>
      </c>
      <c r="H8" s="14" t="s">
        <v>50</v>
      </c>
      <c r="I8" s="14" t="s">
        <v>51</v>
      </c>
      <c r="J8" s="14" t="s">
        <v>29</v>
      </c>
      <c r="K8" s="14"/>
      <c r="M8" s="14">
        <f t="shared" si="0"/>
        <v>54.9</v>
      </c>
      <c r="N8" s="14">
        <v>31.8</v>
      </c>
      <c r="O8" s="14">
        <v>50.9</v>
      </c>
      <c r="P8" s="15">
        <v>70.099999999999994</v>
      </c>
      <c r="Q8" s="15">
        <v>23.2</v>
      </c>
      <c r="R8" s="15">
        <v>259.8</v>
      </c>
      <c r="S8" s="15">
        <v>28</v>
      </c>
      <c r="T8" s="14">
        <v>8.6</v>
      </c>
      <c r="V8">
        <f t="shared" si="1"/>
        <v>4.5802810546004734E-2</v>
      </c>
      <c r="W8">
        <f t="shared" si="1"/>
        <v>5.0778277999822916E-2</v>
      </c>
      <c r="X8">
        <f t="shared" si="1"/>
        <v>4.9762695046505913E-2</v>
      </c>
      <c r="Y8">
        <f t="shared" si="1"/>
        <v>5.0828451082548694E-2</v>
      </c>
      <c r="Z8">
        <f t="shared" si="1"/>
        <v>4.9768232979467579E-2</v>
      </c>
      <c r="AA8">
        <f t="shared" si="1"/>
        <v>5.0737749271468305E-2</v>
      </c>
      <c r="AB8">
        <f t="shared" si="1"/>
        <v>5.2228375254111725E-2</v>
      </c>
      <c r="AC8">
        <f t="shared" si="1"/>
        <v>5.0766518294794893E-2</v>
      </c>
      <c r="AE8">
        <f t="shared" si="2"/>
        <v>0.95419718945399523</v>
      </c>
      <c r="AF8">
        <f t="shared" si="2"/>
        <v>0.94922172200017707</v>
      </c>
      <c r="AG8">
        <f t="shared" si="2"/>
        <v>0.95023730495349412</v>
      </c>
      <c r="AH8">
        <f t="shared" si="2"/>
        <v>0.94917154891745126</v>
      </c>
      <c r="AI8">
        <f t="shared" si="2"/>
        <v>0.95023176702053247</v>
      </c>
      <c r="AJ8">
        <f t="shared" si="2"/>
        <v>0.94926225072853165</v>
      </c>
      <c r="AK8">
        <f t="shared" si="2"/>
        <v>0.94777162474588827</v>
      </c>
      <c r="AL8">
        <f t="shared" si="2"/>
        <v>0.94923348170520505</v>
      </c>
      <c r="AN8">
        <f t="shared" si="3"/>
        <v>0.16750876023084627</v>
      </c>
      <c r="AO8">
        <f t="shared" si="3"/>
        <v>0.16666447529105691</v>
      </c>
      <c r="AP8">
        <f t="shared" si="3"/>
        <v>0.16684032089398598</v>
      </c>
      <c r="AQ8">
        <f t="shared" si="3"/>
        <v>0.16665532717748063</v>
      </c>
      <c r="AR8">
        <f t="shared" si="3"/>
        <v>0.16683500142072696</v>
      </c>
      <c r="AS8">
        <f t="shared" si="3"/>
        <v>0.16667171577492457</v>
      </c>
      <c r="AT8">
        <f t="shared" si="3"/>
        <v>0.16640320232552588</v>
      </c>
      <c r="AU8">
        <f t="shared" si="3"/>
        <v>0.16666666666666666</v>
      </c>
      <c r="AW8" s="9"/>
    </row>
    <row r="9" spans="1:49" x14ac:dyDescent="0.25">
      <c r="A9" s="16" t="s">
        <v>52</v>
      </c>
      <c r="B9" s="14">
        <v>200</v>
      </c>
      <c r="C9" s="14">
        <v>100</v>
      </c>
      <c r="D9" s="14">
        <v>100</v>
      </c>
      <c r="E9" s="14">
        <v>100</v>
      </c>
      <c r="F9" s="14">
        <v>0</v>
      </c>
      <c r="G9" s="14">
        <v>0</v>
      </c>
      <c r="H9" s="14">
        <v>0</v>
      </c>
      <c r="I9" s="14">
        <v>0</v>
      </c>
      <c r="J9" s="14">
        <v>100</v>
      </c>
      <c r="K9" s="14"/>
      <c r="L9" s="3" t="s">
        <v>53</v>
      </c>
      <c r="M9" s="17">
        <f t="shared" ref="M9:T9" si="4">SUM(M3:M8)</f>
        <v>409.4</v>
      </c>
      <c r="N9" s="17">
        <f t="shared" si="4"/>
        <v>190.70000000000002</v>
      </c>
      <c r="O9" s="17">
        <f t="shared" si="4"/>
        <v>319.29999999999995</v>
      </c>
      <c r="P9" s="17">
        <f t="shared" si="4"/>
        <v>419.44000000000005</v>
      </c>
      <c r="Q9" s="17">
        <f t="shared" si="4"/>
        <v>145.5</v>
      </c>
      <c r="R9" s="17">
        <f t="shared" si="4"/>
        <v>1560.8</v>
      </c>
      <c r="S9" s="17">
        <f t="shared" si="4"/>
        <v>157.30000000000001</v>
      </c>
      <c r="T9" s="17">
        <f t="shared" si="4"/>
        <v>51.6</v>
      </c>
      <c r="AE9">
        <f t="shared" ref="AE9:AL9" si="5">SUM(AE3:AE8)</f>
        <v>5.6964017173728836</v>
      </c>
      <c r="AF9">
        <f t="shared" si="5"/>
        <v>5.6954052166335387</v>
      </c>
      <c r="AG9">
        <f t="shared" si="5"/>
        <v>5.695489554694011</v>
      </c>
      <c r="AH9">
        <f t="shared" si="5"/>
        <v>5.6954167922074586</v>
      </c>
      <c r="AI9">
        <f t="shared" si="5"/>
        <v>5.6956379592326911</v>
      </c>
      <c r="AJ9">
        <f t="shared" si="5"/>
        <v>5.6954009641949481</v>
      </c>
      <c r="AK9">
        <f t="shared" si="5"/>
        <v>5.6956333261652752</v>
      </c>
      <c r="AL9">
        <f t="shared" si="5"/>
        <v>5.6954008902312303</v>
      </c>
      <c r="AW9" s="9"/>
    </row>
    <row r="10" spans="1:49" x14ac:dyDescent="0.25">
      <c r="A10" s="16" t="s">
        <v>54</v>
      </c>
      <c r="B10" s="14">
        <v>0</v>
      </c>
      <c r="C10" s="14">
        <v>0</v>
      </c>
      <c r="D10" s="14">
        <v>0</v>
      </c>
      <c r="E10" s="14">
        <v>0</v>
      </c>
      <c r="F10" s="14">
        <v>100</v>
      </c>
      <c r="G10" s="14">
        <v>40</v>
      </c>
      <c r="H10" s="14">
        <v>300</v>
      </c>
      <c r="I10" s="14">
        <v>100</v>
      </c>
      <c r="J10" s="14">
        <v>0</v>
      </c>
      <c r="K10" s="14"/>
      <c r="AN10" s="18">
        <f>'[1]Criteria weights'!C16</f>
        <v>0.25378970362543979</v>
      </c>
      <c r="AO10" s="18">
        <f>'[1]Criteria weights'!C17</f>
        <v>0.21392445099862809</v>
      </c>
      <c r="AP10" s="18">
        <f>'[1]Criteria weights'!C18</f>
        <v>0.17209775277489317</v>
      </c>
      <c r="AQ10" s="18">
        <f>'[1]Criteria weights'!C19</f>
        <v>0.1315904076124732</v>
      </c>
      <c r="AR10" s="18">
        <f>'[1]Criteria weights'!C20</f>
        <v>9.4447914234908989E-2</v>
      </c>
      <c r="AS10" s="18">
        <f>'[1]Criteria weights'!C21</f>
        <v>6.5122411719818724E-2</v>
      </c>
      <c r="AT10" s="18">
        <f>'[1]Criteria weights'!C22</f>
        <v>4.2323215421576826E-2</v>
      </c>
      <c r="AU10" s="18">
        <f>'[1]Criteria weights'!C23</f>
        <v>2.670414361226128E-2</v>
      </c>
      <c r="AW10" s="9"/>
    </row>
    <row r="11" spans="1:49" x14ac:dyDescent="0.25">
      <c r="A11" s="19" t="s">
        <v>55</v>
      </c>
      <c r="B11" s="20" t="s">
        <v>56</v>
      </c>
      <c r="C11" s="20" t="s">
        <v>56</v>
      </c>
      <c r="D11" s="20" t="s">
        <v>56</v>
      </c>
      <c r="E11" s="20" t="s">
        <v>56</v>
      </c>
      <c r="F11" s="20" t="s">
        <v>57</v>
      </c>
      <c r="G11" s="20" t="s">
        <v>57</v>
      </c>
      <c r="H11" s="21" t="s">
        <v>57</v>
      </c>
      <c r="I11" s="20" t="s">
        <v>57</v>
      </c>
      <c r="J11" s="20" t="s">
        <v>56</v>
      </c>
      <c r="K11" s="22"/>
    </row>
  </sheetData>
  <mergeCells count="5">
    <mergeCell ref="O1:Q1"/>
    <mergeCell ref="AG1:AI1"/>
    <mergeCell ref="AQ1:AS1"/>
    <mergeCell ref="C1:G1"/>
    <mergeCell ref="W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5C495-17A5-4DF6-84EF-EDD93AFFC296}">
  <dimension ref="A1:J34"/>
  <sheetViews>
    <sheetView workbookViewId="0">
      <selection activeCell="L17" sqref="L17"/>
    </sheetView>
  </sheetViews>
  <sheetFormatPr defaultRowHeight="15" x14ac:dyDescent="0.25"/>
  <sheetData>
    <row r="1" spans="1:9" x14ac:dyDescent="0.25">
      <c r="C1" s="42" t="s">
        <v>58</v>
      </c>
      <c r="D1" s="42"/>
      <c r="E1" s="42"/>
      <c r="F1" s="42"/>
      <c r="G1" s="42"/>
    </row>
    <row r="2" spans="1:9" ht="48" x14ac:dyDescent="0.25">
      <c r="A2" s="23" t="s">
        <v>59</v>
      </c>
      <c r="B2" s="24" t="s">
        <v>16</v>
      </c>
      <c r="C2" s="12" t="s">
        <v>17</v>
      </c>
      <c r="D2" s="12" t="s">
        <v>18</v>
      </c>
      <c r="E2" s="12" t="s">
        <v>19</v>
      </c>
      <c r="F2" s="12" t="s">
        <v>20</v>
      </c>
      <c r="G2" s="12" t="s">
        <v>21</v>
      </c>
      <c r="H2" s="12" t="s">
        <v>22</v>
      </c>
      <c r="I2" s="12" t="s">
        <v>23</v>
      </c>
    </row>
    <row r="3" spans="1:9" x14ac:dyDescent="0.25">
      <c r="A3" s="23">
        <v>2020</v>
      </c>
      <c r="B3">
        <f>'[1]Time Series Weights'!AN3</f>
        <v>0.16638471515974632</v>
      </c>
      <c r="C3">
        <f>'[1]Time Series Weights'!AO3</f>
        <v>0.16662754252746895</v>
      </c>
      <c r="D3">
        <f>'[1]Time Series Weights'!AP3</f>
        <v>0.16650660615292462</v>
      </c>
      <c r="E3">
        <f>'[1]Time Series Weights'!AQ3</f>
        <v>0.16672343912677295</v>
      </c>
      <c r="F3">
        <f>'[1]Time Series Weights'!AR3</f>
        <v>0.16678394783956565</v>
      </c>
      <c r="G3">
        <f>'[1]Time Series Weights'!AS3</f>
        <v>0.16666868403051419</v>
      </c>
      <c r="H3">
        <f>'[1]Time Series Weights'!AT3</f>
        <v>0.16706164795781522</v>
      </c>
      <c r="I3">
        <f>'[1]Time Series Weights'!AU3</f>
        <v>0.16666666666666666</v>
      </c>
    </row>
    <row r="4" spans="1:9" x14ac:dyDescent="0.25">
      <c r="A4" s="23">
        <v>2021</v>
      </c>
      <c r="B4">
        <f>'[1]Time Series Weights'!AN4</f>
        <v>0.16617570495575215</v>
      </c>
      <c r="C4">
        <f>'[1]Time Series Weights'!AO4</f>
        <v>0.16663980448455087</v>
      </c>
      <c r="D4">
        <f>'[1]Time Series Weights'!AP4</f>
        <v>0.16650660615292462</v>
      </c>
      <c r="E4">
        <f>'[1]Time Series Weights'!AQ4</f>
        <v>0.16666094699117037</v>
      </c>
      <c r="F4">
        <f>'[1]Time Series Weights'!AR4</f>
        <v>0.16697506338025328</v>
      </c>
      <c r="G4">
        <f>'[1]Time Series Weights'!AS4</f>
        <v>0.16666868403051419</v>
      </c>
      <c r="H4">
        <f>'[1]Time Series Weights'!AT4</f>
        <v>0.16673845899931042</v>
      </c>
      <c r="I4">
        <f>'[1]Time Series Weights'!AU4</f>
        <v>0.16666666666666666</v>
      </c>
    </row>
    <row r="5" spans="1:9" x14ac:dyDescent="0.25">
      <c r="A5" s="23">
        <v>2022</v>
      </c>
      <c r="B5">
        <f>'[1]Time Series Weights'!AN5</f>
        <v>0.16650374838111007</v>
      </c>
      <c r="C5">
        <f>'[1]Time Series Weights'!AO5</f>
        <v>0.16667688444811099</v>
      </c>
      <c r="D5">
        <f>'[1]Time Series Weights'!AP5</f>
        <v>0.16665053239083183</v>
      </c>
      <c r="E5">
        <f>'[1]Time Series Weights'!AQ5</f>
        <v>0.16656678104320211</v>
      </c>
      <c r="F5">
        <f>'[1]Time Series Weights'!AR5</f>
        <v>0.1664030006966396</v>
      </c>
      <c r="G5">
        <f>'[1]Time Series Weights'!AS5</f>
        <v>0.16666262936586645</v>
      </c>
      <c r="H5">
        <f>'[1]Time Series Weights'!AT5</f>
        <v>0.16669258637937695</v>
      </c>
      <c r="I5">
        <f>'[1]Time Series Weights'!AU5</f>
        <v>0.16666666666666666</v>
      </c>
    </row>
    <row r="6" spans="1:9" x14ac:dyDescent="0.25">
      <c r="A6" s="23">
        <v>2023</v>
      </c>
      <c r="B6">
        <f>'[1]Time Series Weights'!AN6</f>
        <v>0.16645989341831197</v>
      </c>
      <c r="C6">
        <f>'[1]Time Series Weights'!AO6</f>
        <v>0.16667688444811099</v>
      </c>
      <c r="D6">
        <f>'[1]Time Series Weights'!AP6</f>
        <v>0.16671756839024299</v>
      </c>
      <c r="E6">
        <f>'[1]Time Series Weights'!AQ6</f>
        <v>0.1666643237581969</v>
      </c>
      <c r="F6">
        <f>'[1]Time Series Weights'!AR6</f>
        <v>0.16649378684910895</v>
      </c>
      <c r="G6">
        <f>'[1]Time Series Weights'!AS6</f>
        <v>0.16666111753642587</v>
      </c>
      <c r="H6">
        <f>'[1]Time Series Weights'!AT6</f>
        <v>0.16660280415488019</v>
      </c>
      <c r="I6">
        <f>'[1]Time Series Weights'!AU6</f>
        <v>0.16666666666666666</v>
      </c>
    </row>
    <row r="7" spans="1:9" x14ac:dyDescent="0.25">
      <c r="A7" s="23">
        <v>2024</v>
      </c>
      <c r="B7">
        <f>'[1]Time Series Weights'!AN7</f>
        <v>0.16696717785423326</v>
      </c>
      <c r="C7">
        <f>'[1]Time Series Weights'!AO7</f>
        <v>0.16671440880070129</v>
      </c>
      <c r="D7">
        <f>'[1]Time Series Weights'!AP7</f>
        <v>0.16677836601909005</v>
      </c>
      <c r="E7">
        <f>'[1]Time Series Weights'!AQ7</f>
        <v>0.16672918190317706</v>
      </c>
      <c r="F7">
        <f>'[1]Time Series Weights'!AR7</f>
        <v>0.16650919981370563</v>
      </c>
      <c r="G7">
        <f>'[1]Time Series Weights'!AS7</f>
        <v>0.16666716926175473</v>
      </c>
      <c r="H7">
        <f>'[1]Time Series Weights'!AT7</f>
        <v>0.16650130018309131</v>
      </c>
      <c r="I7">
        <f>'[1]Time Series Weights'!AU7</f>
        <v>0.16666666666666666</v>
      </c>
    </row>
    <row r="8" spans="1:9" x14ac:dyDescent="0.25">
      <c r="A8" s="23">
        <v>2025</v>
      </c>
      <c r="B8">
        <f>'[1]Time Series Weights'!AN8</f>
        <v>0.16750876023084627</v>
      </c>
      <c r="C8">
        <f>'[1]Time Series Weights'!AO8</f>
        <v>0.16666447529105691</v>
      </c>
      <c r="D8">
        <f>'[1]Time Series Weights'!AP8</f>
        <v>0.16684032089398598</v>
      </c>
      <c r="E8">
        <f>'[1]Time Series Weights'!AQ8</f>
        <v>0.16665532717748063</v>
      </c>
      <c r="F8">
        <f>'[1]Time Series Weights'!AR8</f>
        <v>0.16683500142072696</v>
      </c>
      <c r="G8">
        <f>'[1]Time Series Weights'!AS8</f>
        <v>0.16667171577492457</v>
      </c>
      <c r="H8">
        <f>'[1]Time Series Weights'!AT8</f>
        <v>0.16640320232552588</v>
      </c>
      <c r="I8">
        <f>'[1]Time Series Weights'!AU8</f>
        <v>0.16666666666666666</v>
      </c>
    </row>
    <row r="10" spans="1:9" x14ac:dyDescent="0.25">
      <c r="B10" s="25">
        <f>'[1]Time Series Weights'!AN10</f>
        <v>0.25378970362543979</v>
      </c>
      <c r="C10" s="25">
        <f>'[1]Time Series Weights'!AO10</f>
        <v>0.21392445099862809</v>
      </c>
      <c r="D10" s="25">
        <f>'[1]Time Series Weights'!AP10</f>
        <v>0.17209775277489317</v>
      </c>
      <c r="E10" s="25">
        <f>'[1]Time Series Weights'!AQ10</f>
        <v>0.1315904076124732</v>
      </c>
      <c r="F10" s="25">
        <f>'[1]Time Series Weights'!AR10</f>
        <v>9.4447914234908989E-2</v>
      </c>
      <c r="G10" s="25">
        <f>'[1]Time Series Weights'!AS10</f>
        <v>6.5122411719818724E-2</v>
      </c>
      <c r="H10" s="25">
        <f>'[1]Time Series Weights'!AT10</f>
        <v>4.2323215421576826E-2</v>
      </c>
      <c r="I10" s="25">
        <f>'[1]Time Series Weights'!AU10</f>
        <v>2.670414361226128E-2</v>
      </c>
    </row>
    <row r="11" spans="1:9" x14ac:dyDescent="0.25">
      <c r="B11" s="43" t="s">
        <v>60</v>
      </c>
      <c r="C11" s="43"/>
      <c r="D11" s="43"/>
      <c r="E11" s="43"/>
      <c r="F11" s="43"/>
      <c r="G11" s="43"/>
      <c r="H11" s="43"/>
      <c r="I11" s="43"/>
    </row>
    <row r="12" spans="1:9" x14ac:dyDescent="0.25">
      <c r="B12">
        <f>H10</f>
        <v>4.2323215421576826E-2</v>
      </c>
      <c r="C12">
        <f>F10</f>
        <v>9.4447914234908989E-2</v>
      </c>
      <c r="D12">
        <f>E10</f>
        <v>0.1315904076124732</v>
      </c>
      <c r="E12">
        <f>G10</f>
        <v>6.5122411719818724E-2</v>
      </c>
      <c r="F12">
        <f>B10</f>
        <v>0.25378970362543979</v>
      </c>
      <c r="G12">
        <f>C10</f>
        <v>0.21392445099862809</v>
      </c>
      <c r="H12">
        <f>D10</f>
        <v>0.17209775277489317</v>
      </c>
      <c r="I12">
        <f>I10</f>
        <v>2.670414361226128E-2</v>
      </c>
    </row>
    <row r="13" spans="1:9" x14ac:dyDescent="0.25">
      <c r="B13">
        <f t="shared" ref="B13:I13" si="0">B12</f>
        <v>4.2323215421576826E-2</v>
      </c>
      <c r="C13">
        <f t="shared" si="0"/>
        <v>9.4447914234908989E-2</v>
      </c>
      <c r="D13">
        <f t="shared" si="0"/>
        <v>0.1315904076124732</v>
      </c>
      <c r="E13">
        <f t="shared" si="0"/>
        <v>6.5122411719818724E-2</v>
      </c>
      <c r="F13">
        <f t="shared" si="0"/>
        <v>0.25378970362543979</v>
      </c>
      <c r="G13">
        <f t="shared" si="0"/>
        <v>0.21392445099862809</v>
      </c>
      <c r="H13">
        <f t="shared" si="0"/>
        <v>0.17209775277489317</v>
      </c>
      <c r="I13">
        <f t="shared" si="0"/>
        <v>2.670414361226128E-2</v>
      </c>
    </row>
    <row r="14" spans="1:9" x14ac:dyDescent="0.25">
      <c r="B14">
        <f>I10</f>
        <v>2.670414361226128E-2</v>
      </c>
      <c r="C14">
        <f>D10</f>
        <v>0.17209775277489317</v>
      </c>
      <c r="D14">
        <f>C10</f>
        <v>0.21392445099862809</v>
      </c>
      <c r="E14">
        <f>B10</f>
        <v>0.25378970362543979</v>
      </c>
      <c r="F14">
        <f>G10</f>
        <v>6.5122411719818724E-2</v>
      </c>
      <c r="G14">
        <f>E10</f>
        <v>0.1315904076124732</v>
      </c>
      <c r="H14">
        <f>F10</f>
        <v>9.4447914234908989E-2</v>
      </c>
      <c r="I14">
        <f>H10</f>
        <v>4.2323215421576826E-2</v>
      </c>
    </row>
    <row r="15" spans="1:9" x14ac:dyDescent="0.25">
      <c r="B15">
        <f>B14</f>
        <v>2.670414361226128E-2</v>
      </c>
      <c r="C15">
        <f>D10</f>
        <v>0.17209775277489317</v>
      </c>
      <c r="D15">
        <f>C10</f>
        <v>0.21392445099862809</v>
      </c>
      <c r="E15">
        <f>B10</f>
        <v>0.25378970362543979</v>
      </c>
      <c r="F15">
        <f>G10</f>
        <v>6.5122411719818724E-2</v>
      </c>
      <c r="G15">
        <f>E10</f>
        <v>0.1315904076124732</v>
      </c>
      <c r="H15">
        <f>F10</f>
        <v>9.4447914234908989E-2</v>
      </c>
      <c r="I15">
        <f>H10</f>
        <v>4.2323215421576826E-2</v>
      </c>
    </row>
    <row r="16" spans="1:9" x14ac:dyDescent="0.25">
      <c r="B16">
        <f>B15</f>
        <v>2.670414361226128E-2</v>
      </c>
      <c r="C16">
        <f>D10</f>
        <v>0.17209775277489317</v>
      </c>
      <c r="D16">
        <f>C10</f>
        <v>0.21392445099862809</v>
      </c>
      <c r="E16">
        <f>B10</f>
        <v>0.25378970362543979</v>
      </c>
      <c r="F16">
        <f>G10</f>
        <v>6.5122411719818724E-2</v>
      </c>
      <c r="G16">
        <f>E10</f>
        <v>0.1315904076124732</v>
      </c>
      <c r="H16">
        <f>F10</f>
        <v>9.4447914234908989E-2</v>
      </c>
      <c r="I16">
        <f>H10</f>
        <v>4.2323215421576826E-2</v>
      </c>
    </row>
    <row r="17" spans="1:10" x14ac:dyDescent="0.25">
      <c r="B17">
        <f>B16</f>
        <v>2.670414361226128E-2</v>
      </c>
      <c r="C17">
        <f>D10</f>
        <v>0.17209775277489317</v>
      </c>
      <c r="D17">
        <f>C10</f>
        <v>0.21392445099862809</v>
      </c>
      <c r="E17">
        <f>B10</f>
        <v>0.25378970362543979</v>
      </c>
      <c r="F17">
        <f>G10</f>
        <v>6.5122411719818724E-2</v>
      </c>
      <c r="G17">
        <f>E10</f>
        <v>0.1315904076124732</v>
      </c>
      <c r="H17">
        <f>F10</f>
        <v>9.4447914234908989E-2</v>
      </c>
      <c r="I17">
        <f>H10</f>
        <v>4.2323215421576826E-2</v>
      </c>
    </row>
    <row r="19" spans="1:10" x14ac:dyDescent="0.25">
      <c r="A19" s="23" t="s">
        <v>59</v>
      </c>
      <c r="B19" s="44" t="s">
        <v>61</v>
      </c>
      <c r="C19" s="44"/>
      <c r="D19" s="44"/>
      <c r="E19" s="44"/>
      <c r="F19" s="44"/>
      <c r="G19" s="44"/>
      <c r="H19" s="44"/>
      <c r="I19" s="44"/>
      <c r="J19" s="1" t="s">
        <v>62</v>
      </c>
    </row>
    <row r="20" spans="1:10" x14ac:dyDescent="0.25">
      <c r="A20" s="23">
        <v>2020</v>
      </c>
      <c r="B20">
        <f>B3*B12</f>
        <v>7.0419361425636427E-3</v>
      </c>
      <c r="C20">
        <f t="shared" ref="C20:I20" si="1">C3*C12</f>
        <v>1.5737623845808037E-2</v>
      </c>
      <c r="D20">
        <f t="shared" si="1"/>
        <v>2.1910672173832888E-2</v>
      </c>
      <c r="E20">
        <f t="shared" si="1"/>
        <v>1.0857432446157842E-2</v>
      </c>
      <c r="F20">
        <f t="shared" si="1"/>
        <v>4.2328048691684175E-2</v>
      </c>
      <c r="G20">
        <f t="shared" si="1"/>
        <v>3.5654506729891559E-2</v>
      </c>
      <c r="H20">
        <f t="shared" si="1"/>
        <v>2.8750934188410321E-2</v>
      </c>
      <c r="I20">
        <f t="shared" si="1"/>
        <v>4.4506906020435463E-3</v>
      </c>
      <c r="J20">
        <f>SUM(B20:I20)</f>
        <v>0.16673184482039199</v>
      </c>
    </row>
    <row r="21" spans="1:10" x14ac:dyDescent="0.25">
      <c r="A21" s="23">
        <v>2021</v>
      </c>
      <c r="B21">
        <f t="shared" ref="B21:I25" si="2">B4*B13</f>
        <v>7.0330901586746902E-3</v>
      </c>
      <c r="C21">
        <f t="shared" si="2"/>
        <v>1.5738781962078865E-2</v>
      </c>
      <c r="D21">
        <f t="shared" si="2"/>
        <v>2.1910672173832888E-2</v>
      </c>
      <c r="E21">
        <f t="shared" si="2"/>
        <v>1.0853362807573881E-2</v>
      </c>
      <c r="F21">
        <f t="shared" si="2"/>
        <v>4.2376551848113501E-2</v>
      </c>
      <c r="G21">
        <f t="shared" si="2"/>
        <v>3.5654506729891559E-2</v>
      </c>
      <c r="H21">
        <f t="shared" si="2"/>
        <v>2.8695314094929987E-2</v>
      </c>
      <c r="I21">
        <f t="shared" si="2"/>
        <v>4.4506906020435463E-3</v>
      </c>
      <c r="J21">
        <f t="shared" ref="J21:J25" si="3">SUM(B21:I21)</f>
        <v>0.16671297037713889</v>
      </c>
    </row>
    <row r="22" spans="1:10" x14ac:dyDescent="0.25">
      <c r="A22" s="23">
        <v>2022</v>
      </c>
      <c r="B22">
        <f t="shared" si="2"/>
        <v>4.4463400087489799E-3</v>
      </c>
      <c r="C22">
        <f t="shared" si="2"/>
        <v>2.8684717253040441E-2</v>
      </c>
      <c r="D22">
        <f t="shared" si="2"/>
        <v>3.5650623650337783E-2</v>
      </c>
      <c r="E22">
        <f t="shared" si="2"/>
        <v>4.2272933994797784E-2</v>
      </c>
      <c r="F22">
        <f t="shared" si="2"/>
        <v>1.0836564722779846E-2</v>
      </c>
      <c r="G22">
        <f t="shared" si="2"/>
        <v>2.1931203332020914E-2</v>
      </c>
      <c r="H22">
        <f t="shared" si="2"/>
        <v>1.5743767101954551E-2</v>
      </c>
      <c r="I22">
        <f t="shared" si="2"/>
        <v>7.0538692369294708E-3</v>
      </c>
      <c r="J22">
        <f t="shared" si="3"/>
        <v>0.16662001930060977</v>
      </c>
    </row>
    <row r="23" spans="1:10" x14ac:dyDescent="0.25">
      <c r="A23" s="23">
        <v>2023</v>
      </c>
      <c r="B23">
        <f t="shared" si="2"/>
        <v>4.4451688995243085E-3</v>
      </c>
      <c r="C23">
        <f t="shared" si="2"/>
        <v>2.8684717253040441E-2</v>
      </c>
      <c r="D23">
        <f t="shared" si="2"/>
        <v>3.5664964289708966E-2</v>
      </c>
      <c r="E23">
        <f t="shared" si="2"/>
        <v>4.2297689331527132E-2</v>
      </c>
      <c r="F23">
        <f t="shared" si="2"/>
        <v>1.0842476935979414E-2</v>
      </c>
      <c r="G23">
        <f t="shared" si="2"/>
        <v>2.1931004389768586E-2</v>
      </c>
      <c r="H23">
        <f t="shared" si="2"/>
        <v>1.5735287358115461E-2</v>
      </c>
      <c r="I23">
        <f t="shared" si="2"/>
        <v>7.0538692369294708E-3</v>
      </c>
      <c r="J23">
        <f t="shared" si="3"/>
        <v>0.16665517769459379</v>
      </c>
    </row>
    <row r="24" spans="1:10" x14ac:dyDescent="0.25">
      <c r="A24" s="23">
        <v>2024</v>
      </c>
      <c r="B24">
        <f t="shared" si="2"/>
        <v>4.4587154959534157E-3</v>
      </c>
      <c r="C24">
        <f t="shared" si="2"/>
        <v>2.8691175109795564E-2</v>
      </c>
      <c r="D24">
        <f t="shared" si="2"/>
        <v>3.5677970389082089E-2</v>
      </c>
      <c r="E24">
        <f t="shared" si="2"/>
        <v>4.2314149660919349E-2</v>
      </c>
      <c r="F24">
        <f t="shared" si="2"/>
        <v>1.08434806654057E-2</v>
      </c>
      <c r="G24">
        <f t="shared" si="2"/>
        <v>2.1931800738771368E-2</v>
      </c>
      <c r="H24">
        <f t="shared" si="2"/>
        <v>1.5725700519693443E-2</v>
      </c>
      <c r="I24">
        <f t="shared" si="2"/>
        <v>7.0538692369294708E-3</v>
      </c>
      <c r="J24">
        <f t="shared" si="3"/>
        <v>0.16669686181655038</v>
      </c>
    </row>
    <row r="25" spans="1:10" x14ac:dyDescent="0.25">
      <c r="A25" s="23">
        <v>2025</v>
      </c>
      <c r="B25">
        <f t="shared" si="2"/>
        <v>4.4731779895163595E-3</v>
      </c>
      <c r="C25">
        <f t="shared" si="2"/>
        <v>2.8682581664997604E-2</v>
      </c>
      <c r="D25">
        <f t="shared" si="2"/>
        <v>3.5691224051680889E-2</v>
      </c>
      <c r="E25">
        <f t="shared" si="2"/>
        <v>4.2295406091973513E-2</v>
      </c>
      <c r="F25">
        <f t="shared" si="2"/>
        <v>1.0864697651797123E-2</v>
      </c>
      <c r="G25">
        <f t="shared" si="2"/>
        <v>2.1932399016292604E-2</v>
      </c>
      <c r="H25">
        <f t="shared" si="2"/>
        <v>1.5716435381655475E-2</v>
      </c>
      <c r="I25">
        <f t="shared" si="2"/>
        <v>7.0538692369294708E-3</v>
      </c>
      <c r="J25">
        <f t="shared" si="3"/>
        <v>0.16670979108484305</v>
      </c>
    </row>
    <row r="26" spans="1:10" x14ac:dyDescent="0.25">
      <c r="A26" s="26"/>
    </row>
    <row r="28" spans="1:10" x14ac:dyDescent="0.25">
      <c r="A28" s="23" t="s">
        <v>59</v>
      </c>
      <c r="B28" s="45" t="s">
        <v>61</v>
      </c>
      <c r="C28" s="43"/>
      <c r="D28" s="43"/>
      <c r="E28" s="43"/>
      <c r="F28" s="43"/>
      <c r="G28" s="43"/>
      <c r="H28" s="43"/>
      <c r="I28" s="43"/>
    </row>
    <row r="29" spans="1:10" x14ac:dyDescent="0.25">
      <c r="A29" s="23">
        <v>2020</v>
      </c>
      <c r="B29" s="27">
        <f>B20/$J20</f>
        <v>4.2235100020331477E-2</v>
      </c>
      <c r="C29" s="27">
        <f t="shared" ref="C29:I29" si="4">C20/$J20</f>
        <v>9.4388830536608209E-2</v>
      </c>
      <c r="D29" s="27">
        <f t="shared" si="4"/>
        <v>0.13141264164284663</v>
      </c>
      <c r="E29" s="27">
        <f t="shared" si="4"/>
        <v>6.5119128609497229E-2</v>
      </c>
      <c r="F29" s="27">
        <f t="shared" si="4"/>
        <v>0.25386901186921479</v>
      </c>
      <c r="G29" s="27">
        <f t="shared" si="4"/>
        <v>0.21384341286632766</v>
      </c>
      <c r="H29" s="27">
        <f t="shared" si="4"/>
        <v>0.1724381699211785</v>
      </c>
      <c r="I29" s="27">
        <f t="shared" si="4"/>
        <v>2.6693704533995586E-2</v>
      </c>
      <c r="J29" s="10"/>
    </row>
    <row r="30" spans="1:10" x14ac:dyDescent="0.25">
      <c r="A30" s="23">
        <v>2021</v>
      </c>
      <c r="B30" s="27">
        <f t="shared" ref="B30:I34" si="5">B21/$J21</f>
        <v>4.2186820514111163E-2</v>
      </c>
      <c r="C30" s="27">
        <f t="shared" si="5"/>
        <v>9.4406463555142206E-2</v>
      </c>
      <c r="D30" s="27">
        <f t="shared" si="5"/>
        <v>0.13142751955211679</v>
      </c>
      <c r="E30" s="27">
        <f t="shared" si="5"/>
        <v>6.5102090035474444E-2</v>
      </c>
      <c r="F30" s="27">
        <f t="shared" si="5"/>
        <v>0.2541886918111354</v>
      </c>
      <c r="G30" s="27">
        <f t="shared" si="5"/>
        <v>0.21386762319232727</v>
      </c>
      <c r="H30" s="27">
        <f t="shared" si="5"/>
        <v>0.17212406467244454</v>
      </c>
      <c r="I30" s="27">
        <f t="shared" si="5"/>
        <v>2.669672666724834E-2</v>
      </c>
    </row>
    <row r="31" spans="1:10" x14ac:dyDescent="0.25">
      <c r="A31" s="23">
        <v>2022</v>
      </c>
      <c r="B31" s="27">
        <f t="shared" si="5"/>
        <v>2.6685508904707635E-2</v>
      </c>
      <c r="C31" s="27">
        <f t="shared" si="5"/>
        <v>0.17215648739836309</v>
      </c>
      <c r="D31" s="27">
        <f t="shared" si="5"/>
        <v>0.21396362693979903</v>
      </c>
      <c r="E31" s="27">
        <f t="shared" si="5"/>
        <v>0.25370861300004111</v>
      </c>
      <c r="F31" s="27">
        <f t="shared" si="5"/>
        <v>6.5037591330660643E-2</v>
      </c>
      <c r="G31" s="27">
        <f t="shared" si="5"/>
        <v>0.13162405948623399</v>
      </c>
      <c r="H31" s="27">
        <f t="shared" si="5"/>
        <v>9.4489048603158668E-2</v>
      </c>
      <c r="I31" s="27">
        <f t="shared" si="5"/>
        <v>4.2335064337035856E-2</v>
      </c>
    </row>
    <row r="32" spans="1:10" x14ac:dyDescent="0.25">
      <c r="A32" s="23">
        <v>2023</v>
      </c>
      <c r="B32" s="27">
        <f t="shared" si="5"/>
        <v>2.6672852059060316E-2</v>
      </c>
      <c r="C32" s="27">
        <f t="shared" si="5"/>
        <v>0.17212016842109165</v>
      </c>
      <c r="D32" s="27">
        <f t="shared" si="5"/>
        <v>0.2140045378912096</v>
      </c>
      <c r="E32" s="27">
        <f t="shared" si="5"/>
        <v>0.25380363164617864</v>
      </c>
      <c r="F32" s="27">
        <f t="shared" si="5"/>
        <v>6.5059346405960117E-2</v>
      </c>
      <c r="G32" s="27">
        <f t="shared" si="5"/>
        <v>0.13159509769302546</v>
      </c>
      <c r="H32" s="27">
        <f t="shared" si="5"/>
        <v>9.4418232759328827E-2</v>
      </c>
      <c r="I32" s="27">
        <f t="shared" si="5"/>
        <v>4.2326133124145321E-2</v>
      </c>
    </row>
    <row r="33" spans="1:9" x14ac:dyDescent="0.25">
      <c r="A33" s="23">
        <v>2024</v>
      </c>
      <c r="B33" s="27">
        <f t="shared" si="5"/>
        <v>2.6747447116672325E-2</v>
      </c>
      <c r="C33" s="27">
        <f t="shared" si="5"/>
        <v>0.17211586827213432</v>
      </c>
      <c r="D33" s="27">
        <f t="shared" si="5"/>
        <v>0.21402904649966137</v>
      </c>
      <c r="E33" s="27">
        <f t="shared" si="5"/>
        <v>0.25383890974196022</v>
      </c>
      <c r="F33" s="27">
        <f t="shared" si="5"/>
        <v>6.5049098988671616E-2</v>
      </c>
      <c r="G33" s="27">
        <f t="shared" si="5"/>
        <v>0.13156696832665798</v>
      </c>
      <c r="H33" s="27">
        <f t="shared" si="5"/>
        <v>9.4337111978745891E-2</v>
      </c>
      <c r="I33" s="27">
        <f t="shared" si="5"/>
        <v>4.2315549075496346E-2</v>
      </c>
    </row>
    <row r="34" spans="1:9" x14ac:dyDescent="0.25">
      <c r="A34" s="23">
        <v>2025</v>
      </c>
      <c r="B34" s="27">
        <f t="shared" si="5"/>
        <v>2.6832125218367291E-2</v>
      </c>
      <c r="C34" s="27">
        <f t="shared" si="5"/>
        <v>0.17205097240149667</v>
      </c>
      <c r="D34" s="27">
        <f t="shared" si="5"/>
        <v>0.21409194876572471</v>
      </c>
      <c r="E34" s="27">
        <f t="shared" si="5"/>
        <v>0.25370679080539582</v>
      </c>
      <c r="F34" s="27">
        <f t="shared" si="5"/>
        <v>6.517132305845065E-2</v>
      </c>
      <c r="G34" s="27">
        <f t="shared" si="5"/>
        <v>0.13156035331560473</v>
      </c>
      <c r="H34" s="27">
        <f t="shared" si="5"/>
        <v>9.4274219164829753E-2</v>
      </c>
      <c r="I34" s="27">
        <f>I25/$J25</f>
        <v>4.2312267270130335E-2</v>
      </c>
    </row>
  </sheetData>
  <mergeCells count="4">
    <mergeCell ref="C1:G1"/>
    <mergeCell ref="B11:I11"/>
    <mergeCell ref="B19:I19"/>
    <mergeCell ref="B28:I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21CF-273D-453B-AB76-3251CE6FE732}">
  <dimension ref="A1:BN61"/>
  <sheetViews>
    <sheetView workbookViewId="0">
      <selection activeCell="BK1" sqref="BK1:BN1"/>
    </sheetView>
  </sheetViews>
  <sheetFormatPr defaultRowHeight="15" x14ac:dyDescent="0.25"/>
  <cols>
    <col min="1" max="2" width="5.5703125" customWidth="1"/>
    <col min="5" max="5" width="6.5703125" customWidth="1"/>
    <col min="6" max="6" width="7" customWidth="1"/>
    <col min="7" max="7" width="7.85546875" customWidth="1"/>
    <col min="8" max="8" width="8.140625" customWidth="1"/>
    <col min="9" max="9" width="7.85546875" customWidth="1"/>
    <col min="10" max="10" width="7.140625" customWidth="1"/>
    <col min="12" max="12" width="6" customWidth="1"/>
    <col min="14" max="14" width="7.42578125" customWidth="1"/>
    <col min="15" max="15" width="7" customWidth="1"/>
    <col min="16" max="16" width="7.7109375" customWidth="1"/>
    <col min="17" max="17" width="8.140625" customWidth="1"/>
    <col min="18" max="18" width="8.7109375" customWidth="1"/>
    <col min="19" max="19" width="8.28515625" customWidth="1"/>
    <col min="20" max="20" width="7.5703125" customWidth="1"/>
  </cols>
  <sheetData>
    <row r="1" spans="1:66" x14ac:dyDescent="0.25">
      <c r="C1" s="41" t="s">
        <v>79</v>
      </c>
      <c r="D1" s="41"/>
      <c r="E1" s="41"/>
      <c r="F1" s="41"/>
      <c r="G1" s="41"/>
      <c r="N1" s="46" t="s">
        <v>80</v>
      </c>
      <c r="O1" s="46"/>
      <c r="P1" s="46"/>
      <c r="Q1" s="46"/>
      <c r="R1" s="46"/>
      <c r="AA1" s="46" t="s">
        <v>81</v>
      </c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3"/>
      <c r="AO1" s="3"/>
      <c r="BC1" t="s">
        <v>82</v>
      </c>
      <c r="BK1" s="46" t="s">
        <v>83</v>
      </c>
      <c r="BL1" s="46"/>
      <c r="BM1" s="46"/>
      <c r="BN1" s="46"/>
    </row>
    <row r="2" spans="1:66" ht="48" x14ac:dyDescent="0.25">
      <c r="A2" s="12" t="s">
        <v>14</v>
      </c>
      <c r="B2" s="12" t="s">
        <v>15</v>
      </c>
      <c r="C2" s="12" t="s">
        <v>16</v>
      </c>
      <c r="D2" s="12" t="s">
        <v>17</v>
      </c>
      <c r="E2" s="12" t="s">
        <v>18</v>
      </c>
      <c r="F2" s="12" t="s">
        <v>19</v>
      </c>
      <c r="G2" s="12" t="s">
        <v>20</v>
      </c>
      <c r="H2" s="12" t="s">
        <v>21</v>
      </c>
      <c r="I2" s="12" t="s">
        <v>22</v>
      </c>
      <c r="J2" s="12" t="s">
        <v>23</v>
      </c>
      <c r="L2" s="12" t="s">
        <v>14</v>
      </c>
      <c r="M2" s="12" t="s">
        <v>16</v>
      </c>
      <c r="N2" s="12" t="s">
        <v>17</v>
      </c>
      <c r="O2" s="12" t="s">
        <v>18</v>
      </c>
      <c r="P2" s="12" t="s">
        <v>19</v>
      </c>
      <c r="Q2" s="12" t="s">
        <v>20</v>
      </c>
      <c r="R2" s="12" t="s">
        <v>21</v>
      </c>
      <c r="S2" s="12" t="s">
        <v>22</v>
      </c>
      <c r="T2" s="12" t="s">
        <v>23</v>
      </c>
      <c r="V2" s="12" t="s">
        <v>14</v>
      </c>
      <c r="W2" s="47" t="s">
        <v>16</v>
      </c>
      <c r="X2" s="48"/>
      <c r="Y2" s="49"/>
      <c r="Z2" s="47" t="s">
        <v>17</v>
      </c>
      <c r="AA2" s="48"/>
      <c r="AB2" s="49"/>
      <c r="AC2" s="47" t="s">
        <v>18</v>
      </c>
      <c r="AD2" s="48"/>
      <c r="AE2" s="49"/>
      <c r="AF2" s="47" t="s">
        <v>19</v>
      </c>
      <c r="AG2" s="48"/>
      <c r="AH2" s="49"/>
      <c r="AI2" s="47" t="s">
        <v>20</v>
      </c>
      <c r="AJ2" s="48"/>
      <c r="AK2" s="49"/>
      <c r="AL2" s="47" t="s">
        <v>21</v>
      </c>
      <c r="AM2" s="48"/>
      <c r="AN2" s="49"/>
      <c r="AO2" s="47" t="s">
        <v>22</v>
      </c>
      <c r="AP2" s="48"/>
      <c r="AQ2" s="49"/>
      <c r="AR2" s="50" t="s">
        <v>23</v>
      </c>
      <c r="AS2" s="50"/>
      <c r="AT2" s="50"/>
      <c r="BC2" s="46">
        <v>2022</v>
      </c>
      <c r="BD2" s="46"/>
      <c r="BE2" s="46"/>
    </row>
    <row r="3" spans="1:66" x14ac:dyDescent="0.25">
      <c r="A3" s="12">
        <v>2020</v>
      </c>
      <c r="B3" s="28" t="s">
        <v>24</v>
      </c>
      <c r="C3" s="29">
        <v>27.2</v>
      </c>
      <c r="D3" s="28" t="s">
        <v>25</v>
      </c>
      <c r="E3" s="28" t="s">
        <v>26</v>
      </c>
      <c r="F3" s="29">
        <v>31.1</v>
      </c>
      <c r="G3" s="29">
        <v>16.5</v>
      </c>
      <c r="H3" s="28" t="s">
        <v>27</v>
      </c>
      <c r="I3" s="28" t="s">
        <v>28</v>
      </c>
      <c r="J3" s="28" t="s">
        <v>29</v>
      </c>
      <c r="L3" s="12">
        <v>2020</v>
      </c>
      <c r="M3" s="3">
        <f>(C3-0)/100</f>
        <v>0.27200000000000002</v>
      </c>
      <c r="N3" s="30">
        <v>0.67900000000000005</v>
      </c>
      <c r="O3" s="30">
        <v>0.44600000000000001</v>
      </c>
      <c r="P3" s="30">
        <f>(100-F3)/100</f>
        <v>0.68900000000000006</v>
      </c>
      <c r="Q3" s="30">
        <f>(40-G3)/40</f>
        <v>0.58750000000000002</v>
      </c>
      <c r="R3" s="30">
        <f>(300-40)/300</f>
        <v>0.8666666666666667</v>
      </c>
      <c r="S3" s="30">
        <f>(100-76.3)/100</f>
        <v>0.23700000000000002</v>
      </c>
      <c r="T3" s="30">
        <v>0.91400000000000003</v>
      </c>
      <c r="V3" s="12">
        <v>2020</v>
      </c>
      <c r="W3" s="3">
        <f>X3-0.08</f>
        <v>0.192</v>
      </c>
      <c r="X3" s="3">
        <f>M3</f>
        <v>0.27200000000000002</v>
      </c>
      <c r="Y3" s="3">
        <f>X3+0.08</f>
        <v>0.35200000000000004</v>
      </c>
      <c r="Z3" s="30">
        <f>AA3-0.05</f>
        <v>0.629</v>
      </c>
      <c r="AA3" s="30">
        <v>0.67900000000000005</v>
      </c>
      <c r="AB3" s="30">
        <f>AA3+0.05</f>
        <v>0.72900000000000009</v>
      </c>
      <c r="AC3" s="30">
        <f>AD3-0.05</f>
        <v>0.39600000000000002</v>
      </c>
      <c r="AD3" s="30">
        <v>0.44600000000000001</v>
      </c>
      <c r="AE3" s="30">
        <f>AD3+0.05</f>
        <v>0.496</v>
      </c>
      <c r="AF3" s="30">
        <f>AG3-0.05</f>
        <v>0.94311</v>
      </c>
      <c r="AG3" s="30">
        <f>(100-P3)/100</f>
        <v>0.99311000000000005</v>
      </c>
      <c r="AH3" s="30">
        <v>1</v>
      </c>
      <c r="AI3" s="30">
        <f>AJ3-0.05</f>
        <v>0.93531249999999999</v>
      </c>
      <c r="AJ3" s="30">
        <f>(40-Q3)/40</f>
        <v>0.98531250000000004</v>
      </c>
      <c r="AK3" s="30">
        <v>1</v>
      </c>
      <c r="AL3" s="30">
        <f>AM3-0.05</f>
        <v>0.81666666666666665</v>
      </c>
      <c r="AM3" s="30">
        <f>(300-40)/300</f>
        <v>0.8666666666666667</v>
      </c>
      <c r="AN3" s="30">
        <f>AM3+0.05</f>
        <v>0.91666666666666674</v>
      </c>
      <c r="AO3" s="30">
        <f>AP3-0.05</f>
        <v>0.187</v>
      </c>
      <c r="AP3" s="30">
        <f>(100-76.3)/100</f>
        <v>0.23700000000000002</v>
      </c>
      <c r="AQ3" s="30">
        <f>AP3+0.05</f>
        <v>0.28700000000000003</v>
      </c>
      <c r="AR3" s="30">
        <f>AS3-0.05</f>
        <v>0.86399999999999999</v>
      </c>
      <c r="AS3" s="30">
        <v>0.91400000000000003</v>
      </c>
      <c r="AT3" s="31">
        <f>AS3+0.05</f>
        <v>0.96400000000000008</v>
      </c>
      <c r="AW3" s="3">
        <v>0.9</v>
      </c>
      <c r="AX3" s="3">
        <v>0.95</v>
      </c>
      <c r="AY3" s="3">
        <v>1</v>
      </c>
      <c r="BC3" s="8">
        <v>0.51319999999999999</v>
      </c>
      <c r="BD3" s="8">
        <v>0.55600000000000005</v>
      </c>
      <c r="BE3" s="8">
        <v>0.59260000000000002</v>
      </c>
      <c r="BF3" s="30">
        <v>0</v>
      </c>
      <c r="BG3" s="30">
        <v>0</v>
      </c>
      <c r="BH3" s="30">
        <v>0.16700000000000001</v>
      </c>
      <c r="BJ3">
        <f t="shared" ref="BJ3:BJ9" si="0">(1/3*((BC3-BF3)^2+(BD3-BG3)^2+(BE3-BH3)^2))^0.5</f>
        <v>0.50121372686709209</v>
      </c>
      <c r="BK3">
        <f>1/BJ3</f>
        <v>1.9951568490564746</v>
      </c>
      <c r="BL3">
        <f>BK3/BK$10</f>
        <v>6.7494063582649519E-2</v>
      </c>
      <c r="BM3">
        <f>BK3^2</f>
        <v>3.9806508523369604</v>
      </c>
      <c r="BN3">
        <f>BM3/BM$10</f>
        <v>2.482484138154303E-2</v>
      </c>
    </row>
    <row r="4" spans="1:66" x14ac:dyDescent="0.25">
      <c r="A4" s="12">
        <v>2021</v>
      </c>
      <c r="B4" s="28" t="s">
        <v>30</v>
      </c>
      <c r="C4" s="29">
        <v>23.1</v>
      </c>
      <c r="D4" s="28" t="s">
        <v>31</v>
      </c>
      <c r="E4" s="28" t="s">
        <v>26</v>
      </c>
      <c r="F4" s="29">
        <v>30</v>
      </c>
      <c r="G4" s="29">
        <v>17.600000000000001</v>
      </c>
      <c r="H4" s="28" t="s">
        <v>27</v>
      </c>
      <c r="I4" s="28" t="s">
        <v>32</v>
      </c>
      <c r="J4" s="28" t="s">
        <v>29</v>
      </c>
      <c r="L4" s="12">
        <v>2021</v>
      </c>
      <c r="M4" s="3">
        <f t="shared" ref="M4:M8" si="1">(C4-0)/100</f>
        <v>0.23100000000000001</v>
      </c>
      <c r="N4" s="30">
        <v>0.68</v>
      </c>
      <c r="O4" s="30">
        <v>0.44600000000000001</v>
      </c>
      <c r="P4" s="30">
        <f t="shared" ref="P4:P8" si="2">(100-F4)/100</f>
        <v>0.7</v>
      </c>
      <c r="Q4" s="30">
        <f t="shared" ref="Q4:Q8" si="3">(40-G4)/40</f>
        <v>0.55999999999999994</v>
      </c>
      <c r="R4" s="30">
        <f>(300-40)/300</f>
        <v>0.8666666666666667</v>
      </c>
      <c r="S4" s="30">
        <f>(100-74.3)/100</f>
        <v>0.25700000000000001</v>
      </c>
      <c r="T4" s="30">
        <v>0.91400000000000003</v>
      </c>
      <c r="V4" s="12">
        <v>2021</v>
      </c>
      <c r="W4" s="3">
        <f t="shared" ref="W4:W8" si="4">X4-0.08</f>
        <v>0.15100000000000002</v>
      </c>
      <c r="X4" s="3">
        <f t="shared" ref="X4:X9" si="5">M4</f>
        <v>0.23100000000000001</v>
      </c>
      <c r="Y4" s="3">
        <f t="shared" ref="Y4:Y8" si="6">X4+0.08</f>
        <v>0.311</v>
      </c>
      <c r="Z4" s="30">
        <f t="shared" ref="Z4:Z8" si="7">AA4-0.05</f>
        <v>0.63</v>
      </c>
      <c r="AA4" s="30">
        <v>0.68</v>
      </c>
      <c r="AB4" s="30">
        <f t="shared" ref="AB4:AB8" si="8">AA4+0.05</f>
        <v>0.73000000000000009</v>
      </c>
      <c r="AC4" s="30">
        <f t="shared" ref="AC4:AC8" si="9">AD4-0.05</f>
        <v>0.39600000000000002</v>
      </c>
      <c r="AD4" s="30">
        <v>0.44600000000000001</v>
      </c>
      <c r="AE4" s="30">
        <f t="shared" ref="AE4:AE8" si="10">AD4+0.05</f>
        <v>0.496</v>
      </c>
      <c r="AF4" s="30">
        <f t="shared" ref="AF4:AF8" si="11">AG4-0.05</f>
        <v>0.94299999999999995</v>
      </c>
      <c r="AG4" s="30">
        <f t="shared" ref="AG4:AG8" si="12">(100-P4)/100</f>
        <v>0.99299999999999999</v>
      </c>
      <c r="AH4" s="30">
        <v>1</v>
      </c>
      <c r="AI4" s="30">
        <f t="shared" ref="AI4:AI8" si="13">AJ4-0.05</f>
        <v>0.93599999999999994</v>
      </c>
      <c r="AJ4" s="30">
        <f t="shared" ref="AJ4:AJ8" si="14">(40-Q4)/40</f>
        <v>0.98599999999999999</v>
      </c>
      <c r="AK4" s="30">
        <v>1</v>
      </c>
      <c r="AL4" s="30">
        <f t="shared" ref="AL4:AL8" si="15">AM4-0.05</f>
        <v>0.81666666666666665</v>
      </c>
      <c r="AM4" s="30">
        <f>(300-40)/300</f>
        <v>0.8666666666666667</v>
      </c>
      <c r="AN4" s="30">
        <f t="shared" ref="AN4:AN8" si="16">AM4+0.05</f>
        <v>0.91666666666666674</v>
      </c>
      <c r="AO4" s="30">
        <f t="shared" ref="AO4:AO8" si="17">AP4-0.05</f>
        <v>0.20700000000000002</v>
      </c>
      <c r="AP4" s="30">
        <f>(100-74.3)/100</f>
        <v>0.25700000000000001</v>
      </c>
      <c r="AQ4" s="30">
        <f t="shared" ref="AQ4:AQ8" si="18">AP4+0.05</f>
        <v>0.307</v>
      </c>
      <c r="AR4" s="30">
        <f t="shared" ref="AR4:AR8" si="19">AS4-0.05</f>
        <v>0.86399999999999999</v>
      </c>
      <c r="AS4" s="30">
        <v>0.91400000000000003</v>
      </c>
      <c r="AT4" s="31">
        <f t="shared" ref="AT4:AT8" si="20">AS4+0.05</f>
        <v>0.96400000000000008</v>
      </c>
      <c r="AW4" s="3">
        <v>0.76</v>
      </c>
      <c r="AX4" s="3">
        <v>0.78</v>
      </c>
      <c r="AY4" s="3">
        <v>0.8</v>
      </c>
      <c r="BC4" s="8">
        <v>0.51319999999999999</v>
      </c>
      <c r="BD4" s="8">
        <v>0.55600000000000005</v>
      </c>
      <c r="BE4" s="8">
        <v>0.59260000000000002</v>
      </c>
      <c r="BF4" s="30">
        <v>0</v>
      </c>
      <c r="BG4" s="30">
        <v>0.16700000000000001</v>
      </c>
      <c r="BH4" s="30">
        <v>0.33300000000000002</v>
      </c>
      <c r="BJ4">
        <f t="shared" si="0"/>
        <v>0.40086880646914896</v>
      </c>
      <c r="BK4">
        <f t="shared" ref="BK4:BK9" si="21">1/BJ4</f>
        <v>2.4945817281419238</v>
      </c>
      <c r="BL4">
        <f t="shared" ref="BL4:BL9" si="22">BK4/BK$10</f>
        <v>8.4389083420158162E-2</v>
      </c>
      <c r="BM4">
        <f t="shared" ref="BM4:BM9" si="23">BK4^2</f>
        <v>6.222937998379547</v>
      </c>
      <c r="BN4">
        <f t="shared" ref="BN4:BN9" si="24">BM4/BM$10</f>
        <v>3.8808590471142428E-2</v>
      </c>
    </row>
    <row r="5" spans="1:66" x14ac:dyDescent="0.25">
      <c r="A5" s="12">
        <v>2022</v>
      </c>
      <c r="B5" s="28" t="s">
        <v>33</v>
      </c>
      <c r="C5" s="29">
        <v>29.4</v>
      </c>
      <c r="D5" s="28" t="s">
        <v>34</v>
      </c>
      <c r="E5" s="28" t="s">
        <v>35</v>
      </c>
      <c r="F5" s="29">
        <v>28.3</v>
      </c>
      <c r="G5" s="29">
        <v>14.1</v>
      </c>
      <c r="H5" s="28" t="s">
        <v>36</v>
      </c>
      <c r="I5" s="28" t="s">
        <v>37</v>
      </c>
      <c r="J5" s="28" t="s">
        <v>29</v>
      </c>
      <c r="L5" s="12">
        <v>2022</v>
      </c>
      <c r="M5" s="3">
        <f t="shared" si="1"/>
        <v>0.29399999999999998</v>
      </c>
      <c r="N5" s="30">
        <v>0.68300000000000005</v>
      </c>
      <c r="O5" s="30">
        <v>0.44600000000000001</v>
      </c>
      <c r="P5" s="30">
        <f t="shared" si="2"/>
        <v>0.71700000000000008</v>
      </c>
      <c r="Q5" s="30">
        <f t="shared" si="3"/>
        <v>0.64749999999999996</v>
      </c>
      <c r="R5" s="30">
        <f>(300-39.6)/300</f>
        <v>0.86799999999999988</v>
      </c>
      <c r="S5" s="30">
        <f>(100-74)/100</f>
        <v>0.26</v>
      </c>
      <c r="T5" s="30">
        <v>0.91400000000000003</v>
      </c>
      <c r="V5" s="12">
        <v>2022</v>
      </c>
      <c r="W5" s="3">
        <f t="shared" si="4"/>
        <v>0.21399999999999997</v>
      </c>
      <c r="X5" s="3">
        <f t="shared" si="5"/>
        <v>0.29399999999999998</v>
      </c>
      <c r="Y5" s="3">
        <f t="shared" si="6"/>
        <v>0.374</v>
      </c>
      <c r="Z5" s="30">
        <f t="shared" si="7"/>
        <v>0.63300000000000001</v>
      </c>
      <c r="AA5" s="30">
        <v>0.68300000000000005</v>
      </c>
      <c r="AB5" s="30">
        <f t="shared" si="8"/>
        <v>0.7330000000000001</v>
      </c>
      <c r="AC5" s="30">
        <f t="shared" si="9"/>
        <v>0.39600000000000002</v>
      </c>
      <c r="AD5" s="30">
        <v>0.44600000000000001</v>
      </c>
      <c r="AE5" s="30">
        <f t="shared" si="10"/>
        <v>0.496</v>
      </c>
      <c r="AF5" s="30">
        <f t="shared" si="11"/>
        <v>0.94282999999999995</v>
      </c>
      <c r="AG5" s="30">
        <f t="shared" si="12"/>
        <v>0.99282999999999999</v>
      </c>
      <c r="AH5" s="30">
        <v>1</v>
      </c>
      <c r="AI5" s="30">
        <f t="shared" si="13"/>
        <v>0.93381249999999993</v>
      </c>
      <c r="AJ5" s="30">
        <f t="shared" si="14"/>
        <v>0.98381249999999998</v>
      </c>
      <c r="AK5" s="30">
        <v>1</v>
      </c>
      <c r="AL5" s="30">
        <f t="shared" si="15"/>
        <v>0.81799999999999984</v>
      </c>
      <c r="AM5" s="30">
        <f>(300-39.6)/300</f>
        <v>0.86799999999999988</v>
      </c>
      <c r="AN5" s="30">
        <f t="shared" si="16"/>
        <v>0.91799999999999993</v>
      </c>
      <c r="AO5" s="30">
        <f t="shared" si="17"/>
        <v>0.21000000000000002</v>
      </c>
      <c r="AP5" s="30">
        <f>(100-74)/100</f>
        <v>0.26</v>
      </c>
      <c r="AQ5" s="30">
        <f t="shared" si="18"/>
        <v>0.31</v>
      </c>
      <c r="AR5" s="30">
        <f t="shared" si="19"/>
        <v>0.86399999999999999</v>
      </c>
      <c r="AS5" s="30">
        <v>0.91400000000000003</v>
      </c>
      <c r="AT5" s="31">
        <f t="shared" si="20"/>
        <v>0.96400000000000008</v>
      </c>
      <c r="AW5" s="3">
        <v>0.62</v>
      </c>
      <c r="AX5" s="3">
        <v>0.64</v>
      </c>
      <c r="AY5" s="3">
        <v>0.66</v>
      </c>
      <c r="BC5" s="8">
        <v>0.51319999999999999</v>
      </c>
      <c r="BD5" s="8">
        <v>0.55600000000000005</v>
      </c>
      <c r="BE5" s="8">
        <v>0.59260000000000002</v>
      </c>
      <c r="BF5" s="30">
        <v>0.16700000000000001</v>
      </c>
      <c r="BG5" s="30">
        <v>0.33300000000000002</v>
      </c>
      <c r="BH5" s="30">
        <v>0.5</v>
      </c>
      <c r="BJ5">
        <f t="shared" si="0"/>
        <v>0.2436925658830541</v>
      </c>
      <c r="BK5">
        <f t="shared" si="21"/>
        <v>4.1035310058653618</v>
      </c>
      <c r="BL5">
        <f t="shared" si="22"/>
        <v>0.1388181499385519</v>
      </c>
      <c r="BM5">
        <f t="shared" si="23"/>
        <v>16.838966716098387</v>
      </c>
      <c r="BN5">
        <f t="shared" si="24"/>
        <v>0.10501415302746561</v>
      </c>
    </row>
    <row r="6" spans="1:66" x14ac:dyDescent="0.25">
      <c r="A6" s="12">
        <v>2023</v>
      </c>
      <c r="B6" s="28" t="s">
        <v>38</v>
      </c>
      <c r="C6" s="29">
        <v>28.6</v>
      </c>
      <c r="D6" s="28" t="s">
        <v>34</v>
      </c>
      <c r="E6" s="28" t="s">
        <v>39</v>
      </c>
      <c r="F6" s="29">
        <v>30.06</v>
      </c>
      <c r="G6" s="29">
        <v>14.7</v>
      </c>
      <c r="H6" s="28" t="s">
        <v>40</v>
      </c>
      <c r="I6" s="28" t="s">
        <v>41</v>
      </c>
      <c r="J6" s="28" t="s">
        <v>29</v>
      </c>
      <c r="L6" s="12">
        <v>2023</v>
      </c>
      <c r="M6" s="3">
        <f t="shared" si="1"/>
        <v>0.28600000000000003</v>
      </c>
      <c r="N6" s="30">
        <v>0.68300000000000005</v>
      </c>
      <c r="O6" s="30">
        <v>0.47499999999999998</v>
      </c>
      <c r="P6" s="30">
        <f t="shared" si="2"/>
        <v>0.69940000000000002</v>
      </c>
      <c r="Q6" s="30">
        <f t="shared" si="3"/>
        <v>0.63250000000000006</v>
      </c>
      <c r="R6" s="30">
        <f>(300-39.5)/300</f>
        <v>0.86833333333333329</v>
      </c>
      <c r="S6" s="30">
        <f>(100-73.4)/100</f>
        <v>0.26599999999999996</v>
      </c>
      <c r="T6" s="30">
        <v>0.91400000000000003</v>
      </c>
      <c r="V6" s="12">
        <v>2023</v>
      </c>
      <c r="W6" s="3">
        <f t="shared" si="4"/>
        <v>0.20600000000000002</v>
      </c>
      <c r="X6" s="3">
        <f t="shared" si="5"/>
        <v>0.28600000000000003</v>
      </c>
      <c r="Y6" s="3">
        <f t="shared" si="6"/>
        <v>0.36600000000000005</v>
      </c>
      <c r="Z6" s="30">
        <f t="shared" si="7"/>
        <v>0.63300000000000001</v>
      </c>
      <c r="AA6" s="30">
        <v>0.68300000000000005</v>
      </c>
      <c r="AB6" s="30">
        <f t="shared" si="8"/>
        <v>0.7330000000000001</v>
      </c>
      <c r="AC6" s="30">
        <f t="shared" si="9"/>
        <v>0.42499999999999999</v>
      </c>
      <c r="AD6" s="30">
        <v>0.47499999999999998</v>
      </c>
      <c r="AE6" s="30">
        <f t="shared" si="10"/>
        <v>0.52500000000000002</v>
      </c>
      <c r="AF6" s="30">
        <f t="shared" si="11"/>
        <v>0.94300600000000001</v>
      </c>
      <c r="AG6" s="30">
        <f t="shared" si="12"/>
        <v>0.99300600000000006</v>
      </c>
      <c r="AH6" s="30">
        <v>1</v>
      </c>
      <c r="AI6" s="30">
        <f t="shared" si="13"/>
        <v>0.93418749999999995</v>
      </c>
      <c r="AJ6" s="30">
        <f t="shared" si="14"/>
        <v>0.98418749999999999</v>
      </c>
      <c r="AK6" s="30">
        <v>1</v>
      </c>
      <c r="AL6" s="30">
        <f t="shared" si="15"/>
        <v>0.81833333333333325</v>
      </c>
      <c r="AM6" s="30">
        <f>(300-39.5)/300</f>
        <v>0.86833333333333329</v>
      </c>
      <c r="AN6" s="30">
        <f t="shared" si="16"/>
        <v>0.91833333333333333</v>
      </c>
      <c r="AO6" s="30">
        <f t="shared" si="17"/>
        <v>0.21599999999999997</v>
      </c>
      <c r="AP6" s="30">
        <f>(100-73.4)/100</f>
        <v>0.26599999999999996</v>
      </c>
      <c r="AQ6" s="30">
        <f t="shared" si="18"/>
        <v>0.31599999999999995</v>
      </c>
      <c r="AR6" s="30">
        <f t="shared" si="19"/>
        <v>0.86399999999999999</v>
      </c>
      <c r="AS6" s="30">
        <v>0.91400000000000003</v>
      </c>
      <c r="AT6" s="31">
        <f t="shared" si="20"/>
        <v>0.96400000000000008</v>
      </c>
      <c r="AW6" s="3">
        <v>0.48</v>
      </c>
      <c r="AX6" s="3">
        <v>0.5</v>
      </c>
      <c r="AY6" s="3">
        <v>0.52</v>
      </c>
      <c r="BC6" s="8">
        <v>0.51319999999999999</v>
      </c>
      <c r="BD6" s="8">
        <v>0.55600000000000005</v>
      </c>
      <c r="BE6" s="8">
        <v>0.59260000000000002</v>
      </c>
      <c r="BF6" s="30">
        <v>0.33300000000000002</v>
      </c>
      <c r="BG6" s="30">
        <v>0.5</v>
      </c>
      <c r="BH6" s="30">
        <v>0.66700000000000004</v>
      </c>
      <c r="BJ6">
        <f t="shared" si="0"/>
        <v>0.11710878133883328</v>
      </c>
      <c r="BK6">
        <f t="shared" si="21"/>
        <v>8.5390693043477182</v>
      </c>
      <c r="BL6">
        <f t="shared" si="22"/>
        <v>0.28886775836037643</v>
      </c>
      <c r="BM6">
        <f t="shared" si="23"/>
        <v>72.915704584453422</v>
      </c>
      <c r="BN6" s="18">
        <f t="shared" si="24"/>
        <v>0.45472985892993367</v>
      </c>
    </row>
    <row r="7" spans="1:66" x14ac:dyDescent="0.25">
      <c r="A7" s="12">
        <v>2024</v>
      </c>
      <c r="B7" s="28" t="s">
        <v>42</v>
      </c>
      <c r="C7" s="29">
        <v>37.200000000000003</v>
      </c>
      <c r="D7" s="28" t="s">
        <v>43</v>
      </c>
      <c r="E7" s="28" t="s">
        <v>44</v>
      </c>
      <c r="F7" s="29">
        <v>31.2</v>
      </c>
      <c r="G7" s="29">
        <v>14.8</v>
      </c>
      <c r="H7" s="28" t="s">
        <v>45</v>
      </c>
      <c r="I7" s="28" t="s">
        <v>46</v>
      </c>
      <c r="J7" s="28" t="s">
        <v>29</v>
      </c>
      <c r="L7" s="12">
        <v>2024</v>
      </c>
      <c r="M7" s="3">
        <f t="shared" si="1"/>
        <v>0.37200000000000005</v>
      </c>
      <c r="N7" s="30">
        <v>0.68600000000000005</v>
      </c>
      <c r="O7" s="30">
        <v>0.48299999999999998</v>
      </c>
      <c r="P7" s="30">
        <f t="shared" si="2"/>
        <v>0.68799999999999994</v>
      </c>
      <c r="Q7" s="30">
        <f t="shared" si="3"/>
        <v>0.63</v>
      </c>
      <c r="R7" s="30">
        <f>(300-39.9)/300</f>
        <v>0.8670000000000001</v>
      </c>
      <c r="S7" s="30">
        <f>(100-72.7)/100</f>
        <v>0.27299999999999996</v>
      </c>
      <c r="T7" s="30">
        <v>0.91400000000000003</v>
      </c>
      <c r="V7" s="12">
        <v>2024</v>
      </c>
      <c r="W7" s="3">
        <f t="shared" si="4"/>
        <v>0.29200000000000004</v>
      </c>
      <c r="X7" s="3">
        <f t="shared" si="5"/>
        <v>0.37200000000000005</v>
      </c>
      <c r="Y7" s="3">
        <f t="shared" si="6"/>
        <v>0.45200000000000007</v>
      </c>
      <c r="Z7" s="30">
        <f t="shared" si="7"/>
        <v>0.63600000000000001</v>
      </c>
      <c r="AA7" s="30">
        <v>0.68600000000000005</v>
      </c>
      <c r="AB7" s="30">
        <f t="shared" si="8"/>
        <v>0.7360000000000001</v>
      </c>
      <c r="AC7" s="30">
        <f t="shared" si="9"/>
        <v>0.433</v>
      </c>
      <c r="AD7" s="30">
        <v>0.48299999999999998</v>
      </c>
      <c r="AE7" s="30">
        <f t="shared" si="10"/>
        <v>0.53300000000000003</v>
      </c>
      <c r="AF7" s="30">
        <f t="shared" si="11"/>
        <v>0.94311999999999996</v>
      </c>
      <c r="AG7" s="30">
        <f t="shared" si="12"/>
        <v>0.99312</v>
      </c>
      <c r="AH7" s="30">
        <v>1</v>
      </c>
      <c r="AI7" s="30">
        <f t="shared" si="13"/>
        <v>0.93424999999999991</v>
      </c>
      <c r="AJ7" s="30">
        <f t="shared" si="14"/>
        <v>0.98424999999999996</v>
      </c>
      <c r="AK7" s="30">
        <v>1</v>
      </c>
      <c r="AL7" s="30">
        <f t="shared" si="15"/>
        <v>0.81700000000000006</v>
      </c>
      <c r="AM7" s="30">
        <f>(300-39.9)/300</f>
        <v>0.8670000000000001</v>
      </c>
      <c r="AN7" s="30">
        <f t="shared" si="16"/>
        <v>0.91700000000000015</v>
      </c>
      <c r="AO7" s="30">
        <f t="shared" si="17"/>
        <v>0.22299999999999998</v>
      </c>
      <c r="AP7" s="30">
        <f>(100-72.7)/100</f>
        <v>0.27299999999999996</v>
      </c>
      <c r="AQ7" s="30">
        <f t="shared" si="18"/>
        <v>0.32299999999999995</v>
      </c>
      <c r="AR7" s="30">
        <f t="shared" si="19"/>
        <v>0.86399999999999999</v>
      </c>
      <c r="AS7" s="30">
        <v>0.91400000000000003</v>
      </c>
      <c r="AT7" s="31">
        <f t="shared" si="20"/>
        <v>0.96400000000000008</v>
      </c>
      <c r="AW7" s="3">
        <v>0.34</v>
      </c>
      <c r="AX7" s="3">
        <v>0.36</v>
      </c>
      <c r="AY7" s="3">
        <v>0.38</v>
      </c>
      <c r="BC7" s="8">
        <v>0.51319999999999999</v>
      </c>
      <c r="BD7" s="8">
        <v>0.55600000000000005</v>
      </c>
      <c r="BE7" s="8">
        <v>0.59260000000000002</v>
      </c>
      <c r="BF7" s="30">
        <v>0.5</v>
      </c>
      <c r="BG7" s="30">
        <v>0.66700000000000004</v>
      </c>
      <c r="BH7" s="30">
        <v>0.83299999999999996</v>
      </c>
      <c r="BJ7">
        <f t="shared" si="0"/>
        <v>0.15306578106596302</v>
      </c>
      <c r="BK7">
        <f t="shared" si="21"/>
        <v>6.5331388442009413</v>
      </c>
      <c r="BL7">
        <f t="shared" si="22"/>
        <v>0.22100923481444759</v>
      </c>
      <c r="BM7">
        <f t="shared" si="23"/>
        <v>42.681903157607209</v>
      </c>
      <c r="BN7">
        <f t="shared" si="24"/>
        <v>0.26618046019482627</v>
      </c>
    </row>
    <row r="8" spans="1:66" x14ac:dyDescent="0.25">
      <c r="A8" s="12">
        <v>2025</v>
      </c>
      <c r="B8" s="28" t="s">
        <v>47</v>
      </c>
      <c r="C8" s="29">
        <v>45.1</v>
      </c>
      <c r="D8" s="28" t="s">
        <v>48</v>
      </c>
      <c r="E8" s="28" t="s">
        <v>49</v>
      </c>
      <c r="F8" s="29">
        <v>29.3</v>
      </c>
      <c r="G8" s="29">
        <v>16.8</v>
      </c>
      <c r="H8" s="28" t="s">
        <v>50</v>
      </c>
      <c r="I8" s="28" t="s">
        <v>51</v>
      </c>
      <c r="J8" s="28" t="s">
        <v>29</v>
      </c>
      <c r="L8" s="12">
        <v>2025</v>
      </c>
      <c r="M8" s="3">
        <f t="shared" si="1"/>
        <v>0.45100000000000001</v>
      </c>
      <c r="N8" s="30">
        <v>0.68200000000000005</v>
      </c>
      <c r="O8" s="30">
        <v>0.49099999999999999</v>
      </c>
      <c r="P8" s="30">
        <f t="shared" si="2"/>
        <v>0.70700000000000007</v>
      </c>
      <c r="Q8" s="30">
        <f t="shared" si="3"/>
        <v>0.57999999999999996</v>
      </c>
      <c r="R8" s="30">
        <f>(300-40.2)/300</f>
        <v>0.86599999999999999</v>
      </c>
      <c r="S8" s="30">
        <f>(100-72)/100</f>
        <v>0.28000000000000003</v>
      </c>
      <c r="T8" s="30">
        <v>0.91400000000000003</v>
      </c>
      <c r="V8" s="12">
        <v>2025</v>
      </c>
      <c r="W8" s="3">
        <f t="shared" si="4"/>
        <v>0.371</v>
      </c>
      <c r="X8" s="3">
        <f t="shared" si="5"/>
        <v>0.45100000000000001</v>
      </c>
      <c r="Y8" s="3">
        <f t="shared" si="6"/>
        <v>0.53100000000000003</v>
      </c>
      <c r="Z8" s="30">
        <f t="shared" si="7"/>
        <v>0.63200000000000001</v>
      </c>
      <c r="AA8" s="30">
        <v>0.68200000000000005</v>
      </c>
      <c r="AB8" s="30">
        <f t="shared" si="8"/>
        <v>0.7320000000000001</v>
      </c>
      <c r="AC8" s="30">
        <f t="shared" si="9"/>
        <v>0.441</v>
      </c>
      <c r="AD8" s="30">
        <v>0.49099999999999999</v>
      </c>
      <c r="AE8" s="30">
        <f t="shared" si="10"/>
        <v>0.54100000000000004</v>
      </c>
      <c r="AF8" s="30">
        <f t="shared" si="11"/>
        <v>0.94293000000000005</v>
      </c>
      <c r="AG8" s="30">
        <f t="shared" si="12"/>
        <v>0.99293000000000009</v>
      </c>
      <c r="AH8" s="30">
        <v>1</v>
      </c>
      <c r="AI8" s="30">
        <f t="shared" si="13"/>
        <v>0.9355</v>
      </c>
      <c r="AJ8" s="30">
        <f t="shared" si="14"/>
        <v>0.98550000000000004</v>
      </c>
      <c r="AK8" s="30">
        <v>1</v>
      </c>
      <c r="AL8" s="30">
        <f t="shared" si="15"/>
        <v>0.81599999999999995</v>
      </c>
      <c r="AM8" s="30">
        <f>(300-40.2)/300</f>
        <v>0.86599999999999999</v>
      </c>
      <c r="AN8" s="30">
        <f t="shared" si="16"/>
        <v>0.91600000000000004</v>
      </c>
      <c r="AO8" s="30">
        <f t="shared" si="17"/>
        <v>0.23000000000000004</v>
      </c>
      <c r="AP8" s="30">
        <f>(100-72)/100</f>
        <v>0.28000000000000003</v>
      </c>
      <c r="AQ8" s="30">
        <f t="shared" si="18"/>
        <v>0.33</v>
      </c>
      <c r="AR8" s="30">
        <f t="shared" si="19"/>
        <v>0.86399999999999999</v>
      </c>
      <c r="AS8" s="30">
        <v>0.91400000000000003</v>
      </c>
      <c r="AT8" s="31">
        <f t="shared" si="20"/>
        <v>0.96400000000000008</v>
      </c>
      <c r="AW8" s="3">
        <v>0.2</v>
      </c>
      <c r="AX8" s="3">
        <v>0.22</v>
      </c>
      <c r="AY8" s="3">
        <v>0.24</v>
      </c>
      <c r="BC8" s="8">
        <v>0.51319999999999999</v>
      </c>
      <c r="BD8" s="8">
        <v>0.55600000000000005</v>
      </c>
      <c r="BE8" s="8">
        <v>0.59260000000000002</v>
      </c>
      <c r="BF8" s="30">
        <v>0.66700000000000004</v>
      </c>
      <c r="BG8" s="30">
        <v>0.83299999999999996</v>
      </c>
      <c r="BH8" s="30">
        <v>1</v>
      </c>
      <c r="BJ8">
        <f t="shared" si="0"/>
        <v>0.29796990899529885</v>
      </c>
      <c r="BK8">
        <f t="shared" si="21"/>
        <v>3.3560435796078232</v>
      </c>
      <c r="BL8">
        <f t="shared" si="22"/>
        <v>0.11353143431069739</v>
      </c>
      <c r="BM8">
        <f t="shared" si="23"/>
        <v>11.263028508226892</v>
      </c>
      <c r="BN8">
        <f t="shared" si="24"/>
        <v>7.0240497487585624E-2</v>
      </c>
    </row>
    <row r="9" spans="1:66" x14ac:dyDescent="0.25">
      <c r="A9" s="16" t="s">
        <v>52</v>
      </c>
      <c r="B9" s="32">
        <v>200</v>
      </c>
      <c r="C9" s="32">
        <v>100</v>
      </c>
      <c r="D9" s="32">
        <v>100</v>
      </c>
      <c r="E9" s="32">
        <v>100</v>
      </c>
      <c r="F9" s="21">
        <v>0</v>
      </c>
      <c r="G9" s="32">
        <v>0</v>
      </c>
      <c r="H9" s="32">
        <v>0</v>
      </c>
      <c r="I9" s="32">
        <v>0</v>
      </c>
      <c r="J9" s="32">
        <v>100</v>
      </c>
      <c r="L9" s="3" t="s">
        <v>63</v>
      </c>
      <c r="M9" s="14">
        <f>_xlfn.STDEV.S(M3:M8)</f>
        <v>7.9861546858714452E-2</v>
      </c>
      <c r="N9" s="14">
        <f t="shared" ref="N9:T9" si="25">_xlfn.STDEV.S(N3:N8)</f>
        <v>2.4832774042918924E-3</v>
      </c>
      <c r="O9" s="14">
        <f t="shared" si="25"/>
        <v>2.0887795479657481E-2</v>
      </c>
      <c r="P9" s="14">
        <f t="shared" si="25"/>
        <v>1.0984838035522755E-2</v>
      </c>
      <c r="Q9" s="14">
        <f t="shared" si="25"/>
        <v>3.5026775472486782E-2</v>
      </c>
      <c r="R9" s="14">
        <f t="shared" si="25"/>
        <v>8.861067572167085E-4</v>
      </c>
      <c r="S9" s="14">
        <f t="shared" si="25"/>
        <v>1.493206839880753E-2</v>
      </c>
      <c r="T9" s="14">
        <f t="shared" si="25"/>
        <v>0</v>
      </c>
      <c r="V9" s="3" t="s">
        <v>63</v>
      </c>
      <c r="W9" s="3"/>
      <c r="X9" s="33">
        <f t="shared" si="5"/>
        <v>7.9861546858714452E-2</v>
      </c>
      <c r="Y9" s="33"/>
      <c r="Z9" s="33"/>
      <c r="AA9" s="33">
        <v>0.05</v>
      </c>
      <c r="AB9" s="33"/>
      <c r="AC9" s="33"/>
      <c r="AD9" s="33">
        <v>0.05</v>
      </c>
      <c r="AE9" s="33"/>
      <c r="AF9" s="33"/>
      <c r="AG9" s="33">
        <v>0.05</v>
      </c>
      <c r="AH9" s="33"/>
      <c r="AI9" s="33"/>
      <c r="AJ9" s="33">
        <v>0.05</v>
      </c>
      <c r="AK9" s="33"/>
      <c r="AL9" s="33"/>
      <c r="AM9" s="33">
        <v>0.05</v>
      </c>
      <c r="AN9" s="14"/>
      <c r="AO9" s="14"/>
      <c r="AP9" s="33">
        <v>0.05</v>
      </c>
      <c r="AQ9" s="33"/>
      <c r="AR9" s="33"/>
      <c r="AS9" s="33">
        <v>0.05</v>
      </c>
      <c r="AW9" s="14">
        <v>0</v>
      </c>
      <c r="AX9" s="3">
        <v>0.05</v>
      </c>
      <c r="AY9" s="3">
        <v>0.1</v>
      </c>
      <c r="BC9" s="8">
        <v>0.51319999999999999</v>
      </c>
      <c r="BD9" s="8">
        <v>0.55600000000000005</v>
      </c>
      <c r="BE9" s="8">
        <v>0.59260000000000002</v>
      </c>
      <c r="BF9" s="30">
        <v>0.83299999999999996</v>
      </c>
      <c r="BG9" s="30">
        <v>1</v>
      </c>
      <c r="BH9" s="30">
        <v>1</v>
      </c>
      <c r="BJ9">
        <f t="shared" si="0"/>
        <v>0.39386241252498311</v>
      </c>
      <c r="BK9">
        <f t="shared" si="21"/>
        <v>2.5389576872521924</v>
      </c>
      <c r="BL9">
        <f t="shared" si="22"/>
        <v>8.5890275573118929E-2</v>
      </c>
      <c r="BM9">
        <f t="shared" si="23"/>
        <v>6.4463061376570012</v>
      </c>
      <c r="BN9">
        <f t="shared" si="24"/>
        <v>4.0201598507503565E-2</v>
      </c>
    </row>
    <row r="10" spans="1:66" x14ac:dyDescent="0.25">
      <c r="A10" s="16" t="s">
        <v>54</v>
      </c>
      <c r="B10" s="32">
        <v>0</v>
      </c>
      <c r="C10" s="32">
        <v>0</v>
      </c>
      <c r="D10" s="32">
        <v>0</v>
      </c>
      <c r="E10" s="32">
        <v>0</v>
      </c>
      <c r="F10" s="21">
        <v>100</v>
      </c>
      <c r="G10" s="32">
        <v>40</v>
      </c>
      <c r="H10" s="32">
        <v>300</v>
      </c>
      <c r="I10" s="32">
        <v>100</v>
      </c>
      <c r="J10" s="32">
        <v>0</v>
      </c>
      <c r="L10" s="3"/>
      <c r="M10" s="3"/>
      <c r="N10" s="3"/>
      <c r="O10" s="3"/>
      <c r="P10" s="3"/>
      <c r="Q10" s="3"/>
      <c r="R10" s="3"/>
      <c r="S10" s="3"/>
      <c r="T10" s="3"/>
      <c r="BK10">
        <f>SUM(BK3:BK9)</f>
        <v>29.560478998472437</v>
      </c>
      <c r="BM10">
        <f>SUM(BM3:BM9)</f>
        <v>160.34949795475939</v>
      </c>
    </row>
    <row r="11" spans="1:66" x14ac:dyDescent="0.25">
      <c r="A11" s="19" t="s">
        <v>55</v>
      </c>
      <c r="B11" s="32" t="s">
        <v>56</v>
      </c>
      <c r="C11" s="32" t="s">
        <v>56</v>
      </c>
      <c r="D11" s="32" t="s">
        <v>56</v>
      </c>
      <c r="E11" s="32" t="s">
        <v>56</v>
      </c>
      <c r="F11" s="32" t="s">
        <v>57</v>
      </c>
      <c r="G11" s="32" t="s">
        <v>57</v>
      </c>
      <c r="H11" s="34" t="s">
        <v>57</v>
      </c>
      <c r="I11" s="32" t="s">
        <v>57</v>
      </c>
      <c r="J11" s="32" t="s">
        <v>56</v>
      </c>
      <c r="U11" t="s">
        <v>64</v>
      </c>
      <c r="V11">
        <v>0.25380000000000003</v>
      </c>
      <c r="X11" s="27">
        <f>V17</f>
        <v>4.2299999999999997E-2</v>
      </c>
      <c r="Y11" s="27"/>
      <c r="Z11" s="27"/>
      <c r="AA11" s="27">
        <f>V15</f>
        <v>9.4399999999999998E-2</v>
      </c>
      <c r="AB11" s="27"/>
      <c r="AC11" s="27"/>
      <c r="AD11" s="27">
        <f>V14</f>
        <v>0.13159999999999999</v>
      </c>
      <c r="AE11" s="27"/>
      <c r="AF11" s="27"/>
      <c r="AG11" s="27">
        <f>V16</f>
        <v>6.5100000000000005E-2</v>
      </c>
      <c r="AJ11" s="27">
        <f>V15</f>
        <v>9.4399999999999998E-2</v>
      </c>
      <c r="AM11" s="27">
        <f>V12</f>
        <v>0.21390000000000001</v>
      </c>
      <c r="AP11" s="27">
        <f>V13</f>
        <v>0.1721</v>
      </c>
      <c r="AS11" s="27">
        <f>V18</f>
        <v>2.6700000000000002E-2</v>
      </c>
    </row>
    <row r="12" spans="1:66" x14ac:dyDescent="0.25">
      <c r="U12" t="s">
        <v>65</v>
      </c>
      <c r="V12">
        <v>0.21390000000000001</v>
      </c>
      <c r="X12" s="27">
        <f>V17</f>
        <v>4.2299999999999997E-2</v>
      </c>
      <c r="Y12" s="27"/>
      <c r="Z12" s="27"/>
      <c r="AA12" s="27">
        <f>V15</f>
        <v>9.4399999999999998E-2</v>
      </c>
      <c r="AB12" s="27"/>
      <c r="AC12" s="27"/>
      <c r="AD12" s="27">
        <f>V14</f>
        <v>0.13159999999999999</v>
      </c>
      <c r="AE12" s="27"/>
      <c r="AF12" s="27"/>
      <c r="AG12" s="27">
        <f>V16</f>
        <v>6.5100000000000005E-2</v>
      </c>
      <c r="AJ12" s="27">
        <f>V15</f>
        <v>9.4399999999999998E-2</v>
      </c>
      <c r="AM12" s="27">
        <f>V12</f>
        <v>0.21390000000000001</v>
      </c>
      <c r="AP12" s="27">
        <f>V13</f>
        <v>0.1721</v>
      </c>
      <c r="AS12" s="27">
        <f>V18</f>
        <v>2.6700000000000002E-2</v>
      </c>
    </row>
    <row r="13" spans="1:66" x14ac:dyDescent="0.25">
      <c r="U13" t="s">
        <v>66</v>
      </c>
      <c r="V13">
        <v>0.1721</v>
      </c>
      <c r="X13" s="27">
        <f>V18</f>
        <v>2.6700000000000002E-2</v>
      </c>
      <c r="Y13" s="27"/>
      <c r="Z13" s="27"/>
      <c r="AA13" s="27">
        <f>V13</f>
        <v>0.1721</v>
      </c>
      <c r="AB13" s="27"/>
      <c r="AC13" s="27"/>
      <c r="AD13" s="27">
        <f>V12</f>
        <v>0.21390000000000001</v>
      </c>
      <c r="AE13" s="27"/>
      <c r="AF13" s="27"/>
      <c r="AG13" s="27">
        <f>V15</f>
        <v>9.4399999999999998E-2</v>
      </c>
      <c r="AJ13" s="27">
        <f>V16</f>
        <v>6.5100000000000005E-2</v>
      </c>
      <c r="AM13" s="27">
        <f>V14</f>
        <v>0.13159999999999999</v>
      </c>
      <c r="AP13" s="27">
        <f>V15</f>
        <v>9.4399999999999998E-2</v>
      </c>
      <c r="AS13" s="27">
        <f>V17</f>
        <v>4.2299999999999997E-2</v>
      </c>
    </row>
    <row r="14" spans="1:66" x14ac:dyDescent="0.25">
      <c r="U14" t="s">
        <v>67</v>
      </c>
      <c r="V14">
        <v>0.13159999999999999</v>
      </c>
      <c r="X14" s="27">
        <f>V18</f>
        <v>2.6700000000000002E-2</v>
      </c>
      <c r="Y14" s="27"/>
      <c r="Z14" s="27"/>
      <c r="AA14" s="27">
        <f>V13</f>
        <v>0.1721</v>
      </c>
      <c r="AB14" s="27"/>
      <c r="AC14" s="27"/>
      <c r="AD14" s="27">
        <f>V12</f>
        <v>0.21390000000000001</v>
      </c>
      <c r="AE14" s="27"/>
      <c r="AF14" s="27"/>
      <c r="AG14" s="27">
        <f>V15</f>
        <v>9.4399999999999998E-2</v>
      </c>
      <c r="AJ14" s="27">
        <f>V16</f>
        <v>6.5100000000000005E-2</v>
      </c>
      <c r="AM14" s="27">
        <f>V14</f>
        <v>0.13159999999999999</v>
      </c>
      <c r="AP14" s="27">
        <f>V15</f>
        <v>9.4399999999999998E-2</v>
      </c>
      <c r="AS14" s="27">
        <f>V17</f>
        <v>4.2299999999999997E-2</v>
      </c>
    </row>
    <row r="15" spans="1:66" x14ac:dyDescent="0.25">
      <c r="U15" t="s">
        <v>68</v>
      </c>
      <c r="V15">
        <v>9.4399999999999998E-2</v>
      </c>
      <c r="X15" s="27">
        <f>V18</f>
        <v>2.6700000000000002E-2</v>
      </c>
      <c r="Y15" s="27"/>
      <c r="Z15" s="27"/>
      <c r="AA15" s="27">
        <f>V13</f>
        <v>0.1721</v>
      </c>
      <c r="AB15" s="27"/>
      <c r="AC15" s="27"/>
      <c r="AD15" s="27">
        <f>V12</f>
        <v>0.21390000000000001</v>
      </c>
      <c r="AE15" s="27"/>
      <c r="AF15" s="27"/>
      <c r="AG15" s="27">
        <f>V15</f>
        <v>9.4399999999999998E-2</v>
      </c>
      <c r="AJ15" s="27">
        <f>V16</f>
        <v>6.5100000000000005E-2</v>
      </c>
      <c r="AM15" s="27">
        <f>V14</f>
        <v>0.13159999999999999</v>
      </c>
      <c r="AP15" s="27">
        <f>V15</f>
        <v>9.4399999999999998E-2</v>
      </c>
      <c r="AS15" s="27">
        <f>V17</f>
        <v>4.2299999999999997E-2</v>
      </c>
    </row>
    <row r="16" spans="1:66" x14ac:dyDescent="0.25">
      <c r="U16" t="s">
        <v>69</v>
      </c>
      <c r="V16">
        <v>6.5100000000000005E-2</v>
      </c>
      <c r="X16" s="27">
        <f>V18</f>
        <v>2.6700000000000002E-2</v>
      </c>
      <c r="Y16" s="27"/>
      <c r="Z16" s="27"/>
      <c r="AA16" s="27">
        <f>V13</f>
        <v>0.1721</v>
      </c>
      <c r="AB16" s="27"/>
      <c r="AC16" s="27"/>
      <c r="AD16" s="27">
        <f>V12</f>
        <v>0.21390000000000001</v>
      </c>
      <c r="AE16" s="27"/>
      <c r="AF16" s="27"/>
      <c r="AG16" s="27">
        <f>V15</f>
        <v>9.4399999999999998E-2</v>
      </c>
      <c r="AJ16" s="27">
        <f>V16</f>
        <v>6.5100000000000005E-2</v>
      </c>
      <c r="AM16" s="27">
        <f>V14</f>
        <v>0.13159999999999999</v>
      </c>
      <c r="AP16" s="27">
        <f>V15</f>
        <v>9.4399999999999998E-2</v>
      </c>
      <c r="AS16" s="27">
        <f>V17</f>
        <v>4.2299999999999997E-2</v>
      </c>
      <c r="BC16" s="46">
        <v>2020</v>
      </c>
      <c r="BD16" s="46"/>
      <c r="BE16" s="46"/>
    </row>
    <row r="17" spans="21:66" x14ac:dyDescent="0.25">
      <c r="U17" t="s">
        <v>70</v>
      </c>
      <c r="V17">
        <v>4.2299999999999997E-2</v>
      </c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J17" s="27"/>
      <c r="AM17" s="27"/>
      <c r="AP17" s="27"/>
      <c r="AS17" s="27"/>
      <c r="BC17" s="8">
        <v>0.49919999999999998</v>
      </c>
      <c r="BD17" s="8">
        <v>0.54249999999999998</v>
      </c>
      <c r="BE17" s="8">
        <v>0.57969999999999999</v>
      </c>
      <c r="BF17" s="30">
        <v>0</v>
      </c>
      <c r="BG17" s="30">
        <v>0</v>
      </c>
      <c r="BH17" s="30">
        <v>0.16700000000000001</v>
      </c>
      <c r="BJ17">
        <f t="shared" ref="BJ17:BJ23" si="26">(1/3*((BC17-BF17)^2+(BD17-BG17)^2+(BE17-BH17)^2))^0.5</f>
        <v>0.48779373373042284</v>
      </c>
      <c r="BK17">
        <f>(1/BJ17)^2</f>
        <v>4.2026920259718521</v>
      </c>
      <c r="BL17">
        <f>BK17/BK$24</f>
        <v>2.5537459652029977E-2</v>
      </c>
    </row>
    <row r="18" spans="21:66" x14ac:dyDescent="0.25">
      <c r="U18" t="s">
        <v>71</v>
      </c>
      <c r="V18">
        <v>2.6700000000000002E-2</v>
      </c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J18" s="27"/>
      <c r="AM18" s="27"/>
      <c r="AP18" s="27"/>
      <c r="AS18" s="27"/>
      <c r="BC18" s="8">
        <v>0.49919999999999998</v>
      </c>
      <c r="BD18" s="8">
        <v>0.54249999999999998</v>
      </c>
      <c r="BE18" s="8">
        <v>0.57969999999999999</v>
      </c>
      <c r="BF18" s="30">
        <v>0</v>
      </c>
      <c r="BG18" s="30">
        <v>0.16700000000000001</v>
      </c>
      <c r="BH18" s="30">
        <v>0.33300000000000002</v>
      </c>
      <c r="BJ18">
        <f t="shared" si="26"/>
        <v>0.38775498277477577</v>
      </c>
      <c r="BK18">
        <f t="shared" ref="BK18:BK23" si="27">(1/BJ18)^2</f>
        <v>6.6509736205093688</v>
      </c>
      <c r="BL18">
        <f t="shared" ref="BL18:BL23" si="28">BK18/BK$24</f>
        <v>4.0414327157650101E-2</v>
      </c>
    </row>
    <row r="19" spans="21:66" x14ac:dyDescent="0.25"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J19" s="27"/>
      <c r="AM19" s="27"/>
      <c r="AP19" s="27"/>
      <c r="AS19" s="27"/>
      <c r="BC19" s="8">
        <v>0.49919999999999998</v>
      </c>
      <c r="BD19" s="8">
        <v>0.54249999999999998</v>
      </c>
      <c r="BE19" s="8">
        <v>0.57969999999999999</v>
      </c>
      <c r="BF19" s="30">
        <v>0.16700000000000001</v>
      </c>
      <c r="BG19" s="30">
        <v>0.33300000000000002</v>
      </c>
      <c r="BH19" s="30">
        <v>0.5</v>
      </c>
      <c r="BJ19">
        <f t="shared" si="26"/>
        <v>0.23137212450941444</v>
      </c>
      <c r="BK19">
        <f t="shared" si="27"/>
        <v>18.680045564367152</v>
      </c>
      <c r="BL19">
        <f t="shared" si="28"/>
        <v>0.11350841483270339</v>
      </c>
      <c r="BN19" s="25"/>
    </row>
    <row r="20" spans="21:66" x14ac:dyDescent="0.25">
      <c r="BC20" s="8">
        <v>0.49919999999999998</v>
      </c>
      <c r="BD20" s="8">
        <v>0.54249999999999998</v>
      </c>
      <c r="BE20" s="8">
        <v>0.57969999999999999</v>
      </c>
      <c r="BF20" s="30">
        <v>0.33300000000000002</v>
      </c>
      <c r="BG20" s="30">
        <v>0.5</v>
      </c>
      <c r="BH20" s="30">
        <v>0.66700000000000004</v>
      </c>
      <c r="BJ20">
        <f t="shared" si="26"/>
        <v>0.11113052385970891</v>
      </c>
      <c r="BK20">
        <f t="shared" si="27"/>
        <v>80.971703628450015</v>
      </c>
      <c r="BL20" s="18">
        <f t="shared" si="28"/>
        <v>0.49202073375564565</v>
      </c>
    </row>
    <row r="21" spans="21:66" x14ac:dyDescent="0.25">
      <c r="V21" s="12" t="s">
        <v>14</v>
      </c>
      <c r="W21" s="47" t="s">
        <v>16</v>
      </c>
      <c r="X21" s="48"/>
      <c r="Y21" s="49"/>
      <c r="Z21" s="47" t="s">
        <v>17</v>
      </c>
      <c r="AA21" s="48"/>
      <c r="AB21" s="49"/>
      <c r="AC21" s="47" t="s">
        <v>18</v>
      </c>
      <c r="AD21" s="48"/>
      <c r="AE21" s="49"/>
      <c r="AF21" s="47" t="s">
        <v>19</v>
      </c>
      <c r="AG21" s="48"/>
      <c r="AH21" s="49"/>
      <c r="AI21" s="47" t="s">
        <v>20</v>
      </c>
      <c r="AJ21" s="48"/>
      <c r="AK21" s="49"/>
      <c r="AL21" s="47" t="s">
        <v>21</v>
      </c>
      <c r="AM21" s="48"/>
      <c r="AN21" s="49"/>
      <c r="AO21" s="47" t="s">
        <v>22</v>
      </c>
      <c r="AP21" s="48"/>
      <c r="AQ21" s="49"/>
      <c r="AR21" s="50" t="s">
        <v>23</v>
      </c>
      <c r="AS21" s="50"/>
      <c r="AT21" s="50"/>
      <c r="AV21" s="46" t="s">
        <v>72</v>
      </c>
      <c r="AW21" s="46"/>
      <c r="AX21" s="46"/>
      <c r="BC21" s="8">
        <v>0.49919999999999998</v>
      </c>
      <c r="BD21" s="8">
        <v>0.54249999999999998</v>
      </c>
      <c r="BE21" s="8">
        <v>0.57969999999999999</v>
      </c>
      <c r="BF21" s="30">
        <v>0.5</v>
      </c>
      <c r="BG21" s="30">
        <v>0.66700000000000004</v>
      </c>
      <c r="BH21" s="30">
        <v>0.83299999999999996</v>
      </c>
      <c r="BJ21">
        <f t="shared" si="26"/>
        <v>0.16295375622140984</v>
      </c>
      <c r="BK21">
        <f t="shared" si="27"/>
        <v>37.659213740893065</v>
      </c>
      <c r="BL21">
        <f t="shared" si="28"/>
        <v>0.22883443409414145</v>
      </c>
    </row>
    <row r="22" spans="21:66" x14ac:dyDescent="0.25">
      <c r="V22" s="12">
        <v>2020</v>
      </c>
      <c r="W22">
        <f>W3*X11</f>
        <v>8.1215999999999997E-3</v>
      </c>
      <c r="X22">
        <f>X3*X11</f>
        <v>1.15056E-2</v>
      </c>
      <c r="Y22">
        <f>Y3*X11</f>
        <v>1.4889600000000001E-2</v>
      </c>
      <c r="Z22">
        <f t="shared" ref="Z22:Z27" si="29">Z3*AA11</f>
        <v>5.9377599999999996E-2</v>
      </c>
      <c r="AA22">
        <f t="shared" ref="AA22:AA27" si="30">AA3*AA11</f>
        <v>6.4097600000000005E-2</v>
      </c>
      <c r="AB22">
        <f t="shared" ref="AB22:AB27" si="31">AB3*AA11</f>
        <v>6.8817600000000007E-2</v>
      </c>
      <c r="AC22">
        <f t="shared" ref="AC22:AC27" si="32">AC3*AD11</f>
        <v>5.2113600000000003E-2</v>
      </c>
      <c r="AD22">
        <f t="shared" ref="AD22:AD27" si="33">AD3*AD11</f>
        <v>5.8693599999999999E-2</v>
      </c>
      <c r="AE22">
        <f t="shared" ref="AE22:AE27" si="34">AE3*AD11</f>
        <v>6.5273600000000001E-2</v>
      </c>
      <c r="AF22">
        <f t="shared" ref="AF22:AF27" si="35">AF3*AG11</f>
        <v>6.1396461000000006E-2</v>
      </c>
      <c r="AG22">
        <f t="shared" ref="AG22:AG27" si="36">AG3*AG11</f>
        <v>6.4651461000000007E-2</v>
      </c>
      <c r="AH22">
        <f t="shared" ref="AH22:AH27" si="37">AH3*AG11</f>
        <v>6.5100000000000005E-2</v>
      </c>
      <c r="AI22">
        <f t="shared" ref="AI22:AI27" si="38">AI3*AJ11</f>
        <v>8.8293499999999997E-2</v>
      </c>
      <c r="AJ22">
        <f t="shared" ref="AJ22:AJ27" si="39">AJ3*AJ11</f>
        <v>9.3013499999999999E-2</v>
      </c>
      <c r="AK22">
        <f t="shared" ref="AK22:AK27" si="40">AK3*AJ11</f>
        <v>9.4399999999999998E-2</v>
      </c>
      <c r="AL22">
        <f t="shared" ref="AL22:AL27" si="41">AL3*AM11</f>
        <v>0.17468500000000001</v>
      </c>
      <c r="AM22">
        <f t="shared" ref="AM22:AM27" si="42">AM3*AM11</f>
        <v>0.18538000000000002</v>
      </c>
      <c r="AN22">
        <f t="shared" ref="AN22:AN27" si="43">AN3*AM11</f>
        <v>0.19607500000000003</v>
      </c>
      <c r="AO22">
        <f t="shared" ref="AO22:AO27" si="44">AO3*AP11</f>
        <v>3.2182700000000002E-2</v>
      </c>
      <c r="AP22">
        <f t="shared" ref="AP22:AP27" si="45">AP3*AP11</f>
        <v>4.0787700000000003E-2</v>
      </c>
      <c r="AQ22">
        <f t="shared" ref="AQ22:AQ27" si="46">AQ3*AP11</f>
        <v>4.9392700000000005E-2</v>
      </c>
      <c r="AR22">
        <f t="shared" ref="AR22:AR27" si="47">AR3*AS11</f>
        <v>2.30688E-2</v>
      </c>
      <c r="AS22">
        <f t="shared" ref="AS22:AS27" si="48">AS3*AS11</f>
        <v>2.4403800000000003E-2</v>
      </c>
      <c r="AT22">
        <f>AT3*AS11</f>
        <v>2.5738800000000003E-2</v>
      </c>
      <c r="AV22" s="8">
        <f>W22+Z22+AC22+AF22+AI22+AL22+AO22+AR22</f>
        <v>0.49923926100000005</v>
      </c>
      <c r="AW22" s="8">
        <f t="shared" ref="AW22:AX27" si="49">X22+AA22+AD22+AG22+AJ22+AM22+AP22+AS22</f>
        <v>0.54253326099999999</v>
      </c>
      <c r="AX22" s="8">
        <f t="shared" si="49"/>
        <v>0.57968729999999991</v>
      </c>
      <c r="BC22" s="8">
        <v>0.49919999999999998</v>
      </c>
      <c r="BD22" s="8">
        <v>0.54249999999999998</v>
      </c>
      <c r="BE22" s="8">
        <v>0.57969999999999999</v>
      </c>
      <c r="BF22" s="30">
        <v>0.66700000000000004</v>
      </c>
      <c r="BG22" s="30">
        <v>0.83299999999999996</v>
      </c>
      <c r="BH22" s="30">
        <v>1</v>
      </c>
      <c r="BJ22">
        <f t="shared" si="26"/>
        <v>0.31048305375119373</v>
      </c>
      <c r="BK22">
        <f t="shared" si="27"/>
        <v>10.373473396432175</v>
      </c>
      <c r="BL22">
        <f t="shared" si="28"/>
        <v>6.3033921276097638E-2</v>
      </c>
    </row>
    <row r="23" spans="21:66" x14ac:dyDescent="0.25">
      <c r="V23" s="12">
        <v>2021</v>
      </c>
      <c r="W23">
        <f t="shared" ref="W23:W27" si="50">W4*X12</f>
        <v>6.3873000000000003E-3</v>
      </c>
      <c r="X23">
        <f t="shared" ref="X23:X27" si="51">X4*X12</f>
        <v>9.7713000000000001E-3</v>
      </c>
      <c r="Y23">
        <f t="shared" ref="Y23:Y27" si="52">Y4*X12</f>
        <v>1.3155299999999998E-2</v>
      </c>
      <c r="Z23">
        <f t="shared" si="29"/>
        <v>5.9471999999999997E-2</v>
      </c>
      <c r="AA23">
        <f t="shared" si="30"/>
        <v>6.4191999999999999E-2</v>
      </c>
      <c r="AB23">
        <f t="shared" si="31"/>
        <v>6.8912000000000001E-2</v>
      </c>
      <c r="AC23">
        <f t="shared" si="32"/>
        <v>5.2113600000000003E-2</v>
      </c>
      <c r="AD23">
        <f t="shared" si="33"/>
        <v>5.8693599999999999E-2</v>
      </c>
      <c r="AE23">
        <f t="shared" si="34"/>
        <v>6.5273600000000001E-2</v>
      </c>
      <c r="AF23">
        <f t="shared" si="35"/>
        <v>6.1389300000000001E-2</v>
      </c>
      <c r="AG23">
        <f t="shared" si="36"/>
        <v>6.4644300000000002E-2</v>
      </c>
      <c r="AH23">
        <f t="shared" si="37"/>
        <v>6.5100000000000005E-2</v>
      </c>
      <c r="AI23">
        <f t="shared" si="38"/>
        <v>8.835839999999999E-2</v>
      </c>
      <c r="AJ23">
        <f t="shared" si="39"/>
        <v>9.3078399999999992E-2</v>
      </c>
      <c r="AK23">
        <f t="shared" si="40"/>
        <v>9.4399999999999998E-2</v>
      </c>
      <c r="AL23">
        <f t="shared" si="41"/>
        <v>0.17468500000000001</v>
      </c>
      <c r="AM23">
        <f t="shared" si="42"/>
        <v>0.18538000000000002</v>
      </c>
      <c r="AN23">
        <f t="shared" si="43"/>
        <v>0.19607500000000003</v>
      </c>
      <c r="AO23">
        <f t="shared" si="44"/>
        <v>3.5624700000000002E-2</v>
      </c>
      <c r="AP23">
        <f t="shared" si="45"/>
        <v>4.4229700000000004E-2</v>
      </c>
      <c r="AQ23">
        <f t="shared" si="46"/>
        <v>5.2834699999999998E-2</v>
      </c>
      <c r="AR23">
        <f t="shared" si="47"/>
        <v>2.30688E-2</v>
      </c>
      <c r="AS23">
        <f t="shared" si="48"/>
        <v>2.4403800000000003E-2</v>
      </c>
      <c r="AT23">
        <f t="shared" ref="AT23:AT27" si="53">AT4*AS12</f>
        <v>2.5738800000000003E-2</v>
      </c>
      <c r="AV23" s="8">
        <f t="shared" ref="AV23:AV27" si="54">W23+Z23+AC23+AF23+AI23+AL23+AO23+AR23</f>
        <v>0.50109910000000002</v>
      </c>
      <c r="AW23" s="8">
        <f t="shared" si="49"/>
        <v>0.54439310000000007</v>
      </c>
      <c r="AX23" s="8">
        <f t="shared" si="49"/>
        <v>0.58148939999999993</v>
      </c>
      <c r="BC23" s="8">
        <v>0.49919999999999998</v>
      </c>
      <c r="BD23" s="8">
        <v>0.54249999999999998</v>
      </c>
      <c r="BE23" s="8">
        <v>0.57969999999999999</v>
      </c>
      <c r="BF23" s="30">
        <v>0.83299999999999996</v>
      </c>
      <c r="BG23" s="30">
        <v>1</v>
      </c>
      <c r="BH23" s="30">
        <v>1</v>
      </c>
      <c r="BJ23">
        <f t="shared" si="26"/>
        <v>0.40717759434101153</v>
      </c>
      <c r="BK23">
        <f t="shared" si="27"/>
        <v>6.0315961545598915</v>
      </c>
      <c r="BL23">
        <f t="shared" si="28"/>
        <v>3.6650709231731853E-2</v>
      </c>
    </row>
    <row r="24" spans="21:66" x14ac:dyDescent="0.25">
      <c r="V24" s="12">
        <v>2022</v>
      </c>
      <c r="W24">
        <f t="shared" si="50"/>
        <v>5.7137999999999998E-3</v>
      </c>
      <c r="X24">
        <f t="shared" si="51"/>
        <v>7.8498000000000005E-3</v>
      </c>
      <c r="Y24">
        <f t="shared" si="52"/>
        <v>9.9858000000000013E-3</v>
      </c>
      <c r="Z24">
        <f t="shared" si="29"/>
        <v>0.1089393</v>
      </c>
      <c r="AA24">
        <f t="shared" si="30"/>
        <v>0.1175443</v>
      </c>
      <c r="AB24">
        <f t="shared" si="31"/>
        <v>0.12614930000000002</v>
      </c>
      <c r="AC24">
        <f t="shared" si="32"/>
        <v>8.4704400000000013E-2</v>
      </c>
      <c r="AD24">
        <f t="shared" si="33"/>
        <v>9.5399400000000009E-2</v>
      </c>
      <c r="AE24">
        <f t="shared" si="34"/>
        <v>0.10609440000000001</v>
      </c>
      <c r="AF24">
        <f t="shared" si="35"/>
        <v>8.9003151999999988E-2</v>
      </c>
      <c r="AG24">
        <f t="shared" si="36"/>
        <v>9.372315199999999E-2</v>
      </c>
      <c r="AH24">
        <f t="shared" si="37"/>
        <v>9.4399999999999998E-2</v>
      </c>
      <c r="AI24">
        <f t="shared" si="38"/>
        <v>6.079119375E-2</v>
      </c>
      <c r="AJ24">
        <f t="shared" si="39"/>
        <v>6.4046193750000008E-2</v>
      </c>
      <c r="AK24">
        <f t="shared" si="40"/>
        <v>6.5100000000000005E-2</v>
      </c>
      <c r="AL24">
        <f t="shared" si="41"/>
        <v>0.10764879999999998</v>
      </c>
      <c r="AM24">
        <f t="shared" si="42"/>
        <v>0.11422879999999998</v>
      </c>
      <c r="AN24">
        <f t="shared" si="43"/>
        <v>0.12080879999999998</v>
      </c>
      <c r="AO24">
        <f t="shared" si="44"/>
        <v>1.9824000000000001E-2</v>
      </c>
      <c r="AP24">
        <f t="shared" si="45"/>
        <v>2.4544E-2</v>
      </c>
      <c r="AQ24">
        <f t="shared" si="46"/>
        <v>2.9263999999999998E-2</v>
      </c>
      <c r="AR24">
        <f t="shared" si="47"/>
        <v>3.6547199999999995E-2</v>
      </c>
      <c r="AS24">
        <f t="shared" si="48"/>
        <v>3.8662200000000001E-2</v>
      </c>
      <c r="AT24">
        <f t="shared" si="53"/>
        <v>4.07772E-2</v>
      </c>
      <c r="AV24" s="8">
        <f t="shared" si="54"/>
        <v>0.51317184574999997</v>
      </c>
      <c r="AW24" s="8">
        <f t="shared" si="49"/>
        <v>0.55599784574999989</v>
      </c>
      <c r="AX24" s="8">
        <f t="shared" si="49"/>
        <v>0.59257949999999993</v>
      </c>
      <c r="BK24">
        <f>SUM(BK17:BK23)</f>
        <v>164.56969813118351</v>
      </c>
    </row>
    <row r="25" spans="21:66" x14ac:dyDescent="0.25">
      <c r="V25" s="12">
        <v>2023</v>
      </c>
      <c r="W25">
        <f t="shared" si="50"/>
        <v>5.5002000000000011E-3</v>
      </c>
      <c r="X25">
        <f t="shared" si="51"/>
        <v>7.636200000000001E-3</v>
      </c>
      <c r="Y25">
        <f t="shared" si="52"/>
        <v>9.7722000000000017E-3</v>
      </c>
      <c r="Z25">
        <f t="shared" si="29"/>
        <v>0.1089393</v>
      </c>
      <c r="AA25">
        <f t="shared" si="30"/>
        <v>0.1175443</v>
      </c>
      <c r="AB25">
        <f t="shared" si="31"/>
        <v>0.12614930000000002</v>
      </c>
      <c r="AC25">
        <f t="shared" si="32"/>
        <v>9.0907500000000002E-2</v>
      </c>
      <c r="AD25">
        <f t="shared" si="33"/>
        <v>0.1016025</v>
      </c>
      <c r="AE25">
        <f t="shared" si="34"/>
        <v>0.11229750000000001</v>
      </c>
      <c r="AF25">
        <f t="shared" si="35"/>
        <v>8.9019766400000006E-2</v>
      </c>
      <c r="AG25">
        <f t="shared" si="36"/>
        <v>9.3739766400000007E-2</v>
      </c>
      <c r="AH25">
        <f t="shared" si="37"/>
        <v>9.4399999999999998E-2</v>
      </c>
      <c r="AI25">
        <f t="shared" si="38"/>
        <v>6.0815606250000001E-2</v>
      </c>
      <c r="AJ25">
        <f t="shared" si="39"/>
        <v>6.4070606250000009E-2</v>
      </c>
      <c r="AK25">
        <f t="shared" si="40"/>
        <v>6.5100000000000005E-2</v>
      </c>
      <c r="AL25">
        <f t="shared" si="41"/>
        <v>0.10769266666666664</v>
      </c>
      <c r="AM25">
        <f t="shared" si="42"/>
        <v>0.11427266666666666</v>
      </c>
      <c r="AN25">
        <f t="shared" si="43"/>
        <v>0.12085266666666666</v>
      </c>
      <c r="AO25">
        <f t="shared" si="44"/>
        <v>2.0390399999999996E-2</v>
      </c>
      <c r="AP25">
        <f t="shared" si="45"/>
        <v>2.5110399999999995E-2</v>
      </c>
      <c r="AQ25">
        <f t="shared" si="46"/>
        <v>2.9830399999999993E-2</v>
      </c>
      <c r="AR25">
        <f t="shared" si="47"/>
        <v>3.6547199999999995E-2</v>
      </c>
      <c r="AS25">
        <f t="shared" si="48"/>
        <v>3.8662200000000001E-2</v>
      </c>
      <c r="AT25">
        <f t="shared" si="53"/>
        <v>4.07772E-2</v>
      </c>
      <c r="AV25" s="8">
        <f t="shared" si="54"/>
        <v>0.51981263931666666</v>
      </c>
      <c r="AW25" s="8">
        <f t="shared" si="49"/>
        <v>0.56263863931666658</v>
      </c>
      <c r="AX25" s="8">
        <f t="shared" si="49"/>
        <v>0.59917926666666665</v>
      </c>
    </row>
    <row r="26" spans="21:66" x14ac:dyDescent="0.25">
      <c r="V26" s="12">
        <v>2024</v>
      </c>
      <c r="W26">
        <f t="shared" si="50"/>
        <v>7.7964000000000011E-3</v>
      </c>
      <c r="X26">
        <f t="shared" si="51"/>
        <v>9.9324000000000027E-3</v>
      </c>
      <c r="Y26">
        <f t="shared" si="52"/>
        <v>1.2068400000000002E-2</v>
      </c>
      <c r="Z26">
        <f t="shared" si="29"/>
        <v>0.1094556</v>
      </c>
      <c r="AA26">
        <f t="shared" si="30"/>
        <v>0.11806060000000002</v>
      </c>
      <c r="AB26">
        <f t="shared" si="31"/>
        <v>0.12666560000000002</v>
      </c>
      <c r="AC26">
        <f t="shared" si="32"/>
        <v>9.2618699999999998E-2</v>
      </c>
      <c r="AD26">
        <f t="shared" si="33"/>
        <v>0.10331369999999999</v>
      </c>
      <c r="AE26">
        <f t="shared" si="34"/>
        <v>0.1140087</v>
      </c>
      <c r="AF26">
        <f t="shared" si="35"/>
        <v>8.9030527999999998E-2</v>
      </c>
      <c r="AG26">
        <f t="shared" si="36"/>
        <v>9.3750528E-2</v>
      </c>
      <c r="AH26">
        <f t="shared" si="37"/>
        <v>9.4399999999999998E-2</v>
      </c>
      <c r="AI26">
        <f t="shared" si="38"/>
        <v>6.0819674999999997E-2</v>
      </c>
      <c r="AJ26">
        <f t="shared" si="39"/>
        <v>6.4074674999999998E-2</v>
      </c>
      <c r="AK26">
        <f t="shared" si="40"/>
        <v>6.5100000000000005E-2</v>
      </c>
      <c r="AL26">
        <f t="shared" si="41"/>
        <v>0.10751720000000001</v>
      </c>
      <c r="AM26">
        <f t="shared" si="42"/>
        <v>0.11409720000000001</v>
      </c>
      <c r="AN26">
        <f t="shared" si="43"/>
        <v>0.12067720000000001</v>
      </c>
      <c r="AO26">
        <f t="shared" si="44"/>
        <v>2.1051199999999996E-2</v>
      </c>
      <c r="AP26">
        <f t="shared" si="45"/>
        <v>2.5771199999999998E-2</v>
      </c>
      <c r="AQ26">
        <f t="shared" si="46"/>
        <v>3.0491199999999996E-2</v>
      </c>
      <c r="AR26">
        <f t="shared" si="47"/>
        <v>3.6547199999999995E-2</v>
      </c>
      <c r="AS26">
        <f t="shared" si="48"/>
        <v>3.8662200000000001E-2</v>
      </c>
      <c r="AT26">
        <f t="shared" si="53"/>
        <v>4.07772E-2</v>
      </c>
      <c r="AV26" s="8">
        <f t="shared" si="54"/>
        <v>0.52483650299999995</v>
      </c>
      <c r="AW26" s="8">
        <f t="shared" si="49"/>
        <v>0.56766250299999998</v>
      </c>
      <c r="AX26" s="8">
        <f t="shared" si="49"/>
        <v>0.6041882999999999</v>
      </c>
      <c r="BC26" s="46">
        <v>2021</v>
      </c>
      <c r="BD26" s="46"/>
      <c r="BE26" s="46"/>
    </row>
    <row r="27" spans="21:66" x14ac:dyDescent="0.25">
      <c r="V27" s="12">
        <v>2025</v>
      </c>
      <c r="W27">
        <f t="shared" si="50"/>
        <v>9.9056999999999999E-3</v>
      </c>
      <c r="X27">
        <f t="shared" si="51"/>
        <v>1.2041700000000001E-2</v>
      </c>
      <c r="Y27">
        <f t="shared" si="52"/>
        <v>1.4177700000000001E-2</v>
      </c>
      <c r="Z27">
        <f t="shared" si="29"/>
        <v>0.10876720000000001</v>
      </c>
      <c r="AA27">
        <f t="shared" si="30"/>
        <v>0.11737220000000001</v>
      </c>
      <c r="AB27">
        <f t="shared" si="31"/>
        <v>0.12597720000000001</v>
      </c>
      <c r="AC27">
        <f t="shared" si="32"/>
        <v>9.4329900000000008E-2</v>
      </c>
      <c r="AD27">
        <f t="shared" si="33"/>
        <v>0.1050249</v>
      </c>
      <c r="AE27">
        <f t="shared" si="34"/>
        <v>0.11571990000000001</v>
      </c>
      <c r="AF27">
        <f t="shared" si="35"/>
        <v>8.9012592000000001E-2</v>
      </c>
      <c r="AG27">
        <f t="shared" si="36"/>
        <v>9.3732592000000003E-2</v>
      </c>
      <c r="AH27">
        <f t="shared" si="37"/>
        <v>9.4399999999999998E-2</v>
      </c>
      <c r="AI27">
        <f t="shared" si="38"/>
        <v>6.0901050000000005E-2</v>
      </c>
      <c r="AJ27">
        <f t="shared" si="39"/>
        <v>6.4156050000000006E-2</v>
      </c>
      <c r="AK27">
        <f t="shared" si="40"/>
        <v>6.5100000000000005E-2</v>
      </c>
      <c r="AL27">
        <f t="shared" si="41"/>
        <v>0.10738559999999998</v>
      </c>
      <c r="AM27">
        <f t="shared" si="42"/>
        <v>0.1139656</v>
      </c>
      <c r="AN27">
        <f t="shared" si="43"/>
        <v>0.1205456</v>
      </c>
      <c r="AO27">
        <f t="shared" si="44"/>
        <v>2.1712000000000002E-2</v>
      </c>
      <c r="AP27">
        <f t="shared" si="45"/>
        <v>2.6432000000000001E-2</v>
      </c>
      <c r="AQ27">
        <f t="shared" si="46"/>
        <v>3.1151999999999999E-2</v>
      </c>
      <c r="AR27">
        <f t="shared" si="47"/>
        <v>3.6547199999999995E-2</v>
      </c>
      <c r="AS27">
        <f t="shared" si="48"/>
        <v>3.8662200000000001E-2</v>
      </c>
      <c r="AT27">
        <f t="shared" si="53"/>
        <v>4.07772E-2</v>
      </c>
      <c r="AV27" s="8">
        <f t="shared" si="54"/>
        <v>0.52856124199999999</v>
      </c>
      <c r="AW27" s="8">
        <f t="shared" si="49"/>
        <v>0.57138724200000002</v>
      </c>
      <c r="AX27" s="8">
        <f t="shared" si="49"/>
        <v>0.60784959999999999</v>
      </c>
      <c r="BC27" s="8">
        <v>0.50109999999999999</v>
      </c>
      <c r="BD27" s="8">
        <v>0.5444</v>
      </c>
      <c r="BE27" s="8">
        <v>0.58150000000000002</v>
      </c>
      <c r="BF27" s="30">
        <v>0</v>
      </c>
      <c r="BG27" s="30">
        <v>0</v>
      </c>
      <c r="BH27" s="30">
        <v>0.16700000000000001</v>
      </c>
      <c r="BJ27">
        <f t="shared" ref="BJ27:BJ60" si="55">(1/3*((BC27-BF27)^2+(BD27-BG27)^2+(BE27-BH27)^2))^0.5</f>
        <v>0.4896538981770695</v>
      </c>
      <c r="BK27">
        <f>(1/BJ27)^2</f>
        <v>4.1708211521025911</v>
      </c>
      <c r="BL27">
        <f>BK27/BK$34</f>
        <v>2.5433951578843723E-2</v>
      </c>
    </row>
    <row r="28" spans="21:66" x14ac:dyDescent="0.25">
      <c r="BC28" s="8">
        <v>0.50109999999999999</v>
      </c>
      <c r="BD28" s="8">
        <v>0.5444</v>
      </c>
      <c r="BE28" s="8">
        <v>0.58150000000000002</v>
      </c>
      <c r="BF28" s="30">
        <v>0</v>
      </c>
      <c r="BG28" s="30">
        <v>0.16700000000000001</v>
      </c>
      <c r="BH28" s="30">
        <v>0.33300000000000002</v>
      </c>
      <c r="BJ28">
        <f t="shared" si="55"/>
        <v>0.38956566412694366</v>
      </c>
      <c r="BK28">
        <f t="shared" ref="BK28:BK33" si="56">(1/BJ28)^2</f>
        <v>6.5892905315277561</v>
      </c>
      <c r="BL28">
        <f t="shared" ref="BL28:BL33" si="57">BK28/BK$34</f>
        <v>4.0181942645352742E-2</v>
      </c>
    </row>
    <row r="29" spans="21:66" x14ac:dyDescent="0.25">
      <c r="V29" s="35" t="s">
        <v>73</v>
      </c>
      <c r="BC29" s="8">
        <v>0.50109999999999999</v>
      </c>
      <c r="BD29" s="8">
        <v>0.5444</v>
      </c>
      <c r="BE29" s="8">
        <v>0.58150000000000002</v>
      </c>
      <c r="BF29" s="30">
        <v>0.16700000000000001</v>
      </c>
      <c r="BG29" s="30">
        <v>0.33300000000000002</v>
      </c>
      <c r="BH29" s="30">
        <v>0.5</v>
      </c>
      <c r="BJ29">
        <f t="shared" si="55"/>
        <v>0.23306295286896195</v>
      </c>
      <c r="BK29">
        <f t="shared" si="56"/>
        <v>18.409988228653535</v>
      </c>
      <c r="BL29">
        <f t="shared" si="57"/>
        <v>0.11226536264653995</v>
      </c>
    </row>
    <row r="30" spans="21:66" x14ac:dyDescent="0.25">
      <c r="V30" s="35" t="s">
        <v>74</v>
      </c>
      <c r="BC30" s="8">
        <v>0.50109999999999999</v>
      </c>
      <c r="BD30" s="8">
        <v>0.5444</v>
      </c>
      <c r="BE30" s="8">
        <v>0.58150000000000002</v>
      </c>
      <c r="BF30" s="30">
        <v>0.33300000000000002</v>
      </c>
      <c r="BG30" s="30">
        <v>0.5</v>
      </c>
      <c r="BH30" s="30">
        <v>0.66700000000000004</v>
      </c>
      <c r="BJ30">
        <f t="shared" si="55"/>
        <v>0.11186184932019196</v>
      </c>
      <c r="BK30">
        <f t="shared" si="56"/>
        <v>79.916418082208452</v>
      </c>
      <c r="BL30" s="18">
        <f t="shared" si="57"/>
        <v>0.48733576284680846</v>
      </c>
    </row>
    <row r="31" spans="21:66" x14ac:dyDescent="0.25">
      <c r="V31" s="35" t="s">
        <v>75</v>
      </c>
      <c r="BC31" s="8">
        <v>0.50109999999999999</v>
      </c>
      <c r="BD31" s="8">
        <v>0.5444</v>
      </c>
      <c r="BE31" s="8">
        <v>0.58150000000000002</v>
      </c>
      <c r="BF31" s="30">
        <v>0.5</v>
      </c>
      <c r="BG31" s="30">
        <v>0.66700000000000004</v>
      </c>
      <c r="BH31" s="30">
        <v>0.83299999999999996</v>
      </c>
      <c r="BJ31">
        <f t="shared" si="55"/>
        <v>0.16153866410243709</v>
      </c>
      <c r="BK31">
        <f t="shared" si="56"/>
        <v>38.321899355962167</v>
      </c>
      <c r="BL31">
        <f t="shared" si="57"/>
        <v>0.23368955346778911</v>
      </c>
    </row>
    <row r="32" spans="21:66" x14ac:dyDescent="0.25">
      <c r="V32" s="35" t="s">
        <v>76</v>
      </c>
      <c r="BC32" s="8">
        <v>0.50109999999999999</v>
      </c>
      <c r="BD32" s="8">
        <v>0.5444</v>
      </c>
      <c r="BE32" s="8">
        <v>0.58150000000000002</v>
      </c>
      <c r="BF32" s="30">
        <v>0.66700000000000004</v>
      </c>
      <c r="BG32" s="30">
        <v>0.83299999999999996</v>
      </c>
      <c r="BH32" s="30">
        <v>1</v>
      </c>
      <c r="BJ32">
        <f t="shared" si="55"/>
        <v>0.30873668392337184</v>
      </c>
      <c r="BK32">
        <f t="shared" si="56"/>
        <v>10.49116046292875</v>
      </c>
      <c r="BL32">
        <f t="shared" si="57"/>
        <v>6.3975811354436654E-2</v>
      </c>
    </row>
    <row r="33" spans="22:64" x14ac:dyDescent="0.25">
      <c r="V33" s="35" t="s">
        <v>77</v>
      </c>
      <c r="BC33" s="8">
        <v>0.50109999999999999</v>
      </c>
      <c r="BD33" s="8">
        <v>0.5444</v>
      </c>
      <c r="BE33" s="8">
        <v>0.58150000000000002</v>
      </c>
      <c r="BF33" s="30">
        <v>0.83299999999999996</v>
      </c>
      <c r="BG33" s="30">
        <v>1</v>
      </c>
      <c r="BH33" s="30">
        <v>1</v>
      </c>
      <c r="BJ33">
        <f t="shared" si="55"/>
        <v>0.40532753011196593</v>
      </c>
      <c r="BK33">
        <f t="shared" si="56"/>
        <v>6.0867826691118232</v>
      </c>
      <c r="BL33">
        <f t="shared" si="57"/>
        <v>3.7117615460229479E-2</v>
      </c>
    </row>
    <row r="34" spans="22:64" x14ac:dyDescent="0.25">
      <c r="V34" s="35" t="s">
        <v>78</v>
      </c>
      <c r="BK34">
        <f>SUM(BK27:BK33)</f>
        <v>163.98636048249506</v>
      </c>
    </row>
    <row r="35" spans="22:64" x14ac:dyDescent="0.25">
      <c r="BC35" s="46">
        <v>2023</v>
      </c>
      <c r="BD35" s="46"/>
      <c r="BE35" s="46"/>
    </row>
    <row r="36" spans="22:64" x14ac:dyDescent="0.25">
      <c r="BC36" s="8">
        <v>0.51980000000000004</v>
      </c>
      <c r="BD36" s="8">
        <v>0.56259999999999999</v>
      </c>
      <c r="BE36" s="8">
        <v>0.59919999999999995</v>
      </c>
      <c r="BF36" s="30">
        <v>0</v>
      </c>
      <c r="BG36" s="30">
        <v>0</v>
      </c>
      <c r="BH36" s="30">
        <v>0.16700000000000001</v>
      </c>
      <c r="BJ36">
        <f t="shared" si="55"/>
        <v>0.50777542280027699</v>
      </c>
      <c r="BK36">
        <f>(1/BJ36)^2</f>
        <v>3.8784361586913341</v>
      </c>
      <c r="BL36">
        <f>BK36/BK$43</f>
        <v>2.4399626576865431E-2</v>
      </c>
    </row>
    <row r="37" spans="22:64" x14ac:dyDescent="0.25">
      <c r="BC37" s="8">
        <v>0.51980000000000004</v>
      </c>
      <c r="BD37" s="8">
        <v>0.56259999999999999</v>
      </c>
      <c r="BE37" s="8">
        <v>0.59919999999999995</v>
      </c>
      <c r="BF37" s="30">
        <v>0</v>
      </c>
      <c r="BG37" s="30">
        <v>0.16700000000000001</v>
      </c>
      <c r="BH37" s="30">
        <v>0.33300000000000002</v>
      </c>
      <c r="BJ37">
        <f t="shared" si="55"/>
        <v>0.40724842541132061</v>
      </c>
      <c r="BK37">
        <f t="shared" ref="BK37:BK42" si="58">(1/BJ37)^2</f>
        <v>6.0294982348040973</v>
      </c>
      <c r="BL37">
        <f t="shared" ref="BL37:BL42" si="59">BK37/BK$43</f>
        <v>3.7932171461790877E-2</v>
      </c>
    </row>
    <row r="38" spans="22:64" x14ac:dyDescent="0.25">
      <c r="BC38" s="8">
        <v>0.51980000000000004</v>
      </c>
      <c r="BD38" s="8">
        <v>0.56259999999999999</v>
      </c>
      <c r="BE38" s="8">
        <v>0.59919999999999995</v>
      </c>
      <c r="BF38" s="30">
        <v>0.16700000000000001</v>
      </c>
      <c r="BG38" s="30">
        <v>0.33300000000000002</v>
      </c>
      <c r="BH38" s="30">
        <v>0.5</v>
      </c>
      <c r="BJ38">
        <f t="shared" si="55"/>
        <v>0.24968289221864332</v>
      </c>
      <c r="BK38">
        <f t="shared" si="58"/>
        <v>16.040667154873287</v>
      </c>
      <c r="BL38">
        <f t="shared" si="59"/>
        <v>0.10091342814696751</v>
      </c>
    </row>
    <row r="39" spans="22:64" x14ac:dyDescent="0.25">
      <c r="BC39" s="8">
        <v>0.51980000000000004</v>
      </c>
      <c r="BD39" s="8">
        <v>0.56259999999999999</v>
      </c>
      <c r="BE39" s="8">
        <v>0.59919999999999995</v>
      </c>
      <c r="BF39" s="30">
        <v>0.33300000000000002</v>
      </c>
      <c r="BG39" s="30">
        <v>0.5</v>
      </c>
      <c r="BH39" s="30">
        <v>0.66700000000000004</v>
      </c>
      <c r="BJ39">
        <f t="shared" si="55"/>
        <v>0.12029109138530032</v>
      </c>
      <c r="BK39">
        <f t="shared" si="58"/>
        <v>69.10875506567173</v>
      </c>
      <c r="BL39" s="18">
        <f t="shared" si="59"/>
        <v>0.43477003302367523</v>
      </c>
    </row>
    <row r="40" spans="22:64" x14ac:dyDescent="0.25">
      <c r="BC40" s="8">
        <v>0.51980000000000004</v>
      </c>
      <c r="BD40" s="8">
        <v>0.56259999999999999</v>
      </c>
      <c r="BE40" s="8">
        <v>0.59919999999999995</v>
      </c>
      <c r="BF40" s="30">
        <v>0.5</v>
      </c>
      <c r="BG40" s="30">
        <v>0.66700000000000004</v>
      </c>
      <c r="BH40" s="30">
        <v>0.83299999999999996</v>
      </c>
      <c r="BJ40">
        <f t="shared" si="55"/>
        <v>0.14827209222686963</v>
      </c>
      <c r="BK40">
        <f t="shared" si="58"/>
        <v>45.486358337892071</v>
      </c>
      <c r="BL40" s="36">
        <f t="shared" si="59"/>
        <v>0.28615919210090662</v>
      </c>
    </row>
    <row r="41" spans="22:64" x14ac:dyDescent="0.25">
      <c r="BC41" s="8">
        <v>0.51980000000000004</v>
      </c>
      <c r="BD41" s="8">
        <v>0.56259999999999999</v>
      </c>
      <c r="BE41" s="8">
        <v>0.59919999999999995</v>
      </c>
      <c r="BF41" s="30">
        <v>0.66700000000000004</v>
      </c>
      <c r="BG41" s="30">
        <v>0.83299999999999996</v>
      </c>
      <c r="BH41" s="30">
        <v>1</v>
      </c>
      <c r="BJ41">
        <f t="shared" si="55"/>
        <v>0.29179024429659511</v>
      </c>
      <c r="BK41">
        <f t="shared" si="58"/>
        <v>11.745147218373294</v>
      </c>
      <c r="BL41">
        <f t="shared" si="59"/>
        <v>7.3889886153318887E-2</v>
      </c>
    </row>
    <row r="42" spans="22:64" x14ac:dyDescent="0.25">
      <c r="BC42" s="8">
        <v>0.51980000000000004</v>
      </c>
      <c r="BD42" s="8">
        <v>0.56259999999999999</v>
      </c>
      <c r="BE42" s="8">
        <v>0.59919999999999995</v>
      </c>
      <c r="BF42" s="30">
        <v>0.83299999999999996</v>
      </c>
      <c r="BG42" s="30">
        <v>1</v>
      </c>
      <c r="BH42" s="30">
        <v>1</v>
      </c>
      <c r="BJ42">
        <f t="shared" si="55"/>
        <v>0.38732141691365324</v>
      </c>
      <c r="BK42">
        <f t="shared" si="58"/>
        <v>6.6658720947129773</v>
      </c>
      <c r="BL42">
        <f t="shared" si="59"/>
        <v>4.1935662536475571E-2</v>
      </c>
    </row>
    <row r="43" spans="22:64" x14ac:dyDescent="0.25">
      <c r="BK43">
        <f>SUM(BK36:BK42)</f>
        <v>158.95473426501877</v>
      </c>
    </row>
    <row r="44" spans="22:64" x14ac:dyDescent="0.25">
      <c r="BC44" s="46">
        <v>2024</v>
      </c>
      <c r="BD44" s="46"/>
      <c r="BE44" s="46"/>
    </row>
    <row r="45" spans="22:64" x14ac:dyDescent="0.25">
      <c r="BC45" s="8">
        <v>0.52480000000000004</v>
      </c>
      <c r="BD45" s="8">
        <v>0.56769999999999998</v>
      </c>
      <c r="BE45" s="8">
        <v>0.60419999999999996</v>
      </c>
      <c r="BF45" s="30">
        <v>0</v>
      </c>
      <c r="BG45" s="30">
        <v>0</v>
      </c>
      <c r="BH45" s="30">
        <v>0.16700000000000001</v>
      </c>
      <c r="BJ45">
        <f t="shared" si="55"/>
        <v>0.5127839603575759</v>
      </c>
      <c r="BK45">
        <f>(1/BJ45)^2</f>
        <v>3.803042121848025</v>
      </c>
      <c r="BL45">
        <f>BK45/BK$52</f>
        <v>2.405655278462324E-2</v>
      </c>
    </row>
    <row r="46" spans="22:64" x14ac:dyDescent="0.25">
      <c r="BC46" s="8">
        <v>0.52480000000000004</v>
      </c>
      <c r="BD46" s="8">
        <v>0.56769999999999998</v>
      </c>
      <c r="BE46" s="8">
        <v>0.60419999999999996</v>
      </c>
      <c r="BF46" s="30">
        <v>0</v>
      </c>
      <c r="BG46" s="30">
        <v>0.16700000000000001</v>
      </c>
      <c r="BH46" s="30">
        <v>0.33300000000000002</v>
      </c>
      <c r="BJ46">
        <f t="shared" si="55"/>
        <v>0.41211849833108272</v>
      </c>
      <c r="BK46">
        <f t="shared" ref="BK46:BK51" si="60">(1/BJ46)^2</f>
        <v>5.8878370573281229</v>
      </c>
      <c r="BL46">
        <f t="shared" ref="BL46:BL51" si="61">BK46/BK$52</f>
        <v>3.7244147821335893E-2</v>
      </c>
    </row>
    <row r="47" spans="22:64" x14ac:dyDescent="0.25">
      <c r="BC47" s="8">
        <v>0.52480000000000004</v>
      </c>
      <c r="BD47" s="8">
        <v>0.56769999999999998</v>
      </c>
      <c r="BE47" s="8">
        <v>0.60419999999999996</v>
      </c>
      <c r="BF47" s="30">
        <v>0.16700000000000001</v>
      </c>
      <c r="BG47" s="30">
        <v>0.33300000000000002</v>
      </c>
      <c r="BH47" s="30">
        <v>0.5</v>
      </c>
      <c r="BJ47">
        <f t="shared" si="55"/>
        <v>0.2542718820475437</v>
      </c>
      <c r="BK47">
        <f t="shared" si="60"/>
        <v>15.466901681082081</v>
      </c>
      <c r="BL47">
        <f t="shared" si="61"/>
        <v>9.7837553407040034E-2</v>
      </c>
    </row>
    <row r="48" spans="22:64" x14ac:dyDescent="0.25">
      <c r="BC48" s="8">
        <v>0.52480000000000004</v>
      </c>
      <c r="BD48" s="8">
        <v>0.56769999999999998</v>
      </c>
      <c r="BE48" s="8">
        <v>0.60419999999999996</v>
      </c>
      <c r="BF48" s="30">
        <v>0.33300000000000002</v>
      </c>
      <c r="BG48" s="30">
        <v>0.5</v>
      </c>
      <c r="BH48" s="30">
        <v>0.66700000000000004</v>
      </c>
      <c r="BJ48">
        <f t="shared" si="55"/>
        <v>0.12290154596261191</v>
      </c>
      <c r="BK48">
        <f t="shared" si="60"/>
        <v>66.204164374347428</v>
      </c>
      <c r="BL48" s="18">
        <f t="shared" si="61"/>
        <v>0.41878157638165825</v>
      </c>
    </row>
    <row r="49" spans="55:64" x14ac:dyDescent="0.25">
      <c r="BC49" s="8">
        <v>0.52480000000000004</v>
      </c>
      <c r="BD49" s="8">
        <v>0.56769999999999998</v>
      </c>
      <c r="BE49" s="8">
        <v>0.60419999999999996</v>
      </c>
      <c r="BF49" s="30">
        <v>0.5</v>
      </c>
      <c r="BG49" s="30">
        <v>0.66700000000000004</v>
      </c>
      <c r="BH49" s="30">
        <v>0.83299999999999996</v>
      </c>
      <c r="BJ49">
        <f t="shared" si="55"/>
        <v>0.14471232382442994</v>
      </c>
      <c r="BK49">
        <f t="shared" si="60"/>
        <v>47.751714007981207</v>
      </c>
      <c r="BL49">
        <f t="shared" si="61"/>
        <v>0.30205861302188813</v>
      </c>
    </row>
    <row r="50" spans="55:64" x14ac:dyDescent="0.25">
      <c r="BC50" s="8">
        <v>0.52480000000000004</v>
      </c>
      <c r="BD50" s="8">
        <v>0.56769999999999998</v>
      </c>
      <c r="BE50" s="8">
        <v>0.60419999999999996</v>
      </c>
      <c r="BF50" s="30">
        <v>0.66700000000000004</v>
      </c>
      <c r="BG50" s="30">
        <v>0.83299999999999996</v>
      </c>
      <c r="BH50" s="30">
        <v>1</v>
      </c>
      <c r="BJ50">
        <f t="shared" si="55"/>
        <v>0.28709032841018289</v>
      </c>
      <c r="BK50">
        <f t="shared" si="60"/>
        <v>12.13285132480828</v>
      </c>
      <c r="BL50">
        <f t="shared" si="61"/>
        <v>7.6747658577445574E-2</v>
      </c>
    </row>
    <row r="51" spans="55:64" x14ac:dyDescent="0.25">
      <c r="BC51" s="8">
        <v>0.52480000000000004</v>
      </c>
      <c r="BD51" s="8">
        <v>0.56769999999999998</v>
      </c>
      <c r="BE51" s="8">
        <v>0.60419999999999996</v>
      </c>
      <c r="BF51" s="30">
        <v>0.83299999999999996</v>
      </c>
      <c r="BG51" s="30">
        <v>1</v>
      </c>
      <c r="BH51" s="30">
        <v>1</v>
      </c>
      <c r="BJ51">
        <f t="shared" si="55"/>
        <v>0.382329774758214</v>
      </c>
      <c r="BK51">
        <f t="shared" si="60"/>
        <v>6.8410656492147375</v>
      </c>
      <c r="BL51">
        <f t="shared" si="61"/>
        <v>4.3273898006008921E-2</v>
      </c>
    </row>
    <row r="52" spans="55:64" x14ac:dyDescent="0.25">
      <c r="BK52">
        <f>SUM(BK45:BK51)</f>
        <v>158.08757621660988</v>
      </c>
    </row>
    <row r="53" spans="55:64" x14ac:dyDescent="0.25">
      <c r="BC53" s="46">
        <v>2025</v>
      </c>
      <c r="BD53" s="46"/>
      <c r="BE53" s="46"/>
    </row>
    <row r="54" spans="55:64" x14ac:dyDescent="0.25">
      <c r="BC54" s="8">
        <v>0.52859999999999996</v>
      </c>
      <c r="BD54" s="8">
        <v>0.57140000000000002</v>
      </c>
      <c r="BE54" s="8">
        <v>0.60780000000000001</v>
      </c>
      <c r="BF54" s="3">
        <v>0.9</v>
      </c>
      <c r="BG54" s="3">
        <v>0.92</v>
      </c>
      <c r="BH54" s="3">
        <v>0.94</v>
      </c>
      <c r="BJ54">
        <f t="shared" si="55"/>
        <v>0.35110148580336903</v>
      </c>
      <c r="BK54">
        <f>(1/BJ54)^2</f>
        <v>8.1121255834916717</v>
      </c>
      <c r="BL54">
        <f>BK54/BK$61</f>
        <v>1.7892320950684045E-2</v>
      </c>
    </row>
    <row r="55" spans="55:64" x14ac:dyDescent="0.25">
      <c r="BC55" s="8">
        <v>0.52859999999999996</v>
      </c>
      <c r="BD55" s="8">
        <v>0.57140000000000002</v>
      </c>
      <c r="BE55" s="8">
        <v>0.60780000000000001</v>
      </c>
      <c r="BF55" s="3">
        <v>0.76</v>
      </c>
      <c r="BG55" s="3">
        <v>0.78</v>
      </c>
      <c r="BH55" s="3">
        <v>0.8</v>
      </c>
      <c r="BJ55">
        <f t="shared" si="55"/>
        <v>0.21134549912406464</v>
      </c>
      <c r="BK55">
        <f t="shared" ref="BK55:BK60" si="62">(1/BJ55)^2</f>
        <v>22.387932725157679</v>
      </c>
      <c r="BL55" s="37">
        <f t="shared" ref="BL55:BL60" si="63">BK55/BK$61</f>
        <v>4.9379422645528984E-2</v>
      </c>
    </row>
    <row r="56" spans="55:64" x14ac:dyDescent="0.25">
      <c r="BC56" s="8">
        <v>0.52859999999999996</v>
      </c>
      <c r="BD56" s="8">
        <v>0.57140000000000002</v>
      </c>
      <c r="BE56" s="8">
        <v>0.60780000000000001</v>
      </c>
      <c r="BF56" s="3">
        <v>0.62</v>
      </c>
      <c r="BG56" s="3">
        <v>0.64</v>
      </c>
      <c r="BH56" s="3">
        <v>0.66</v>
      </c>
      <c r="BJ56">
        <f t="shared" si="55"/>
        <v>7.2536795260520495E-2</v>
      </c>
      <c r="BK56">
        <f t="shared" si="62"/>
        <v>190.05673827159862</v>
      </c>
      <c r="BL56">
        <f t="shared" si="63"/>
        <v>0.41919422042920462</v>
      </c>
    </row>
    <row r="57" spans="55:64" x14ac:dyDescent="0.25">
      <c r="BC57" s="8">
        <v>0.52859999999999996</v>
      </c>
      <c r="BD57" s="8">
        <v>0.57140000000000002</v>
      </c>
      <c r="BE57" s="8">
        <v>0.60780000000000001</v>
      </c>
      <c r="BF57" s="3">
        <v>0.48</v>
      </c>
      <c r="BG57" s="3">
        <v>0.5</v>
      </c>
      <c r="BH57" s="3">
        <v>0.52</v>
      </c>
      <c r="BJ57">
        <f t="shared" si="55"/>
        <v>7.1107336705387381E-2</v>
      </c>
      <c r="BK57">
        <f t="shared" si="62"/>
        <v>197.77490051922513</v>
      </c>
      <c r="BL57" s="18">
        <f t="shared" si="63"/>
        <v>0.43621760531922826</v>
      </c>
    </row>
    <row r="58" spans="55:64" x14ac:dyDescent="0.25">
      <c r="BC58" s="8">
        <v>0.52859999999999996</v>
      </c>
      <c r="BD58" s="8">
        <v>0.57140000000000002</v>
      </c>
      <c r="BE58" s="8">
        <v>0.60780000000000001</v>
      </c>
      <c r="BF58" s="3">
        <v>0.34</v>
      </c>
      <c r="BG58" s="3">
        <v>0.36</v>
      </c>
      <c r="BH58" s="3">
        <v>0.38</v>
      </c>
      <c r="BJ58">
        <f t="shared" si="55"/>
        <v>0.2098831103257239</v>
      </c>
      <c r="BK58">
        <f t="shared" si="62"/>
        <v>22.70100147738118</v>
      </c>
      <c r="BL58">
        <f t="shared" si="63"/>
        <v>5.0069935450928874E-2</v>
      </c>
    </row>
    <row r="59" spans="55:64" x14ac:dyDescent="0.25">
      <c r="BC59" s="8">
        <v>0.52859999999999996</v>
      </c>
      <c r="BD59" s="8">
        <v>0.57140000000000002</v>
      </c>
      <c r="BE59" s="8">
        <v>0.60780000000000001</v>
      </c>
      <c r="BF59" s="3">
        <v>0.2</v>
      </c>
      <c r="BG59" s="3">
        <v>0.22</v>
      </c>
      <c r="BH59" s="3">
        <v>0.24</v>
      </c>
      <c r="BJ59">
        <f t="shared" si="55"/>
        <v>0.34963636347878158</v>
      </c>
      <c r="BK59">
        <f t="shared" si="62"/>
        <v>8.1802544146378988</v>
      </c>
      <c r="BL59">
        <f t="shared" si="63"/>
        <v>1.8042587721127528E-2</v>
      </c>
    </row>
    <row r="60" spans="55:64" x14ac:dyDescent="0.25">
      <c r="BC60" s="8">
        <v>0.52859999999999996</v>
      </c>
      <c r="BD60" s="8">
        <v>0.57140000000000002</v>
      </c>
      <c r="BE60" s="8">
        <v>0.60780000000000001</v>
      </c>
      <c r="BF60" s="3">
        <v>0.06</v>
      </c>
      <c r="BG60" s="3">
        <v>0.08</v>
      </c>
      <c r="BH60" s="3">
        <v>0.1</v>
      </c>
      <c r="BJ60">
        <f t="shared" si="55"/>
        <v>0.4895306459593039</v>
      </c>
      <c r="BK60">
        <f t="shared" si="62"/>
        <v>4.1729216443826163</v>
      </c>
      <c r="BL60">
        <f t="shared" si="63"/>
        <v>9.2039074832977342E-3</v>
      </c>
    </row>
    <row r="61" spans="55:64" x14ac:dyDescent="0.25">
      <c r="BK61">
        <f>SUM(BK54:BK60)</f>
        <v>453.38587463587476</v>
      </c>
    </row>
  </sheetData>
  <mergeCells count="27">
    <mergeCell ref="BC53:BE53"/>
    <mergeCell ref="AO21:AQ21"/>
    <mergeCell ref="AR21:AT21"/>
    <mergeCell ref="AV21:AX21"/>
    <mergeCell ref="BC26:BE26"/>
    <mergeCell ref="BC35:BE35"/>
    <mergeCell ref="BC44:BE44"/>
    <mergeCell ref="BC16:BE16"/>
    <mergeCell ref="W21:Y21"/>
    <mergeCell ref="Z21:AB21"/>
    <mergeCell ref="AC21:AE21"/>
    <mergeCell ref="AF21:AH21"/>
    <mergeCell ref="AI21:AK21"/>
    <mergeCell ref="AL21:AN21"/>
    <mergeCell ref="C1:G1"/>
    <mergeCell ref="BK1:BN1"/>
    <mergeCell ref="N1:R1"/>
    <mergeCell ref="AA1:AM1"/>
    <mergeCell ref="W2:Y2"/>
    <mergeCell ref="Z2:AB2"/>
    <mergeCell ref="AC2:AE2"/>
    <mergeCell ref="AF2:AH2"/>
    <mergeCell ref="AI2:AK2"/>
    <mergeCell ref="AL2:AN2"/>
    <mergeCell ref="AO2:AQ2"/>
    <mergeCell ref="AR2:AT2"/>
    <mergeCell ref="BC2:B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Criteria Weights</vt:lpstr>
      <vt:lpstr>Time Series Weights</vt:lpstr>
      <vt:lpstr>Hybrid weights</vt:lpstr>
      <vt:lpstr>Computation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Asif Aliyev</cp:lastModifiedBy>
  <dcterms:created xsi:type="dcterms:W3CDTF">2015-06-05T18:17:20Z</dcterms:created>
  <dcterms:modified xsi:type="dcterms:W3CDTF">2026-01-18T11:04:03Z</dcterms:modified>
</cp:coreProperties>
</file>